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 Onboarding" sheetId="1" state="visible" r:id="rId3"/>
    <sheet name="Payment Processing" sheetId="2" state="visible" r:id="rId4"/>
    <sheet name="Exception Management" sheetId="3" state="visible" r:id="rId5"/>
    <sheet name="Operations Dashboard" sheetId="4" state="visible" r:id="rId6"/>
    <sheet name="Audit Trail" sheetId="5" state="visible" r:id="rId7"/>
    <sheet name="Business Ru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<sst xmlns="http://schemas.openxmlformats.org/spreadsheetml/2006/main" count="1934" uniqueCount="583">
  <si>
    <t xml:space="preserve">CLIENT ONBOARDING - Application Register</t>
  </si>
  <si>
    <t xml:space="preserve">Application ID</t>
  </si>
  <si>
    <t xml:space="preserve">Customer ID</t>
  </si>
  <si>
    <t xml:space="preserve">Customer Name</t>
  </si>
  <si>
    <t xml:space="preserve">Customer Type</t>
  </si>
  <si>
    <t xml:space="preserve">Documents Submitted</t>
  </si>
  <si>
    <t xml:space="preserve">Verification Status</t>
  </si>
  <si>
    <t xml:space="preserve">Risk Category</t>
  </si>
  <si>
    <t xml:space="preserve">Application Date</t>
  </si>
  <si>
    <t xml:space="preserve">Decision Date</t>
  </si>
  <si>
    <t xml:space="preserve">Turnaround Time (Days)</t>
  </si>
  <si>
    <t xml:space="preserve">SLA Target (Days)</t>
  </si>
  <si>
    <t xml:space="preserve">SLA Met</t>
  </si>
  <si>
    <t xml:space="preserve">Final Status</t>
  </si>
  <si>
    <t xml:space="preserve">Rejection Reason</t>
  </si>
  <si>
    <t xml:space="preserve">APP0001</t>
  </si>
  <si>
    <t xml:space="preserve">CUST0001</t>
  </si>
  <si>
    <t xml:space="preserve">Priya Mehta</t>
  </si>
  <si>
    <t xml:space="preserve">Individual</t>
  </si>
  <si>
    <t xml:space="preserve">PAN, Aadhaar, Address Proof</t>
  </si>
  <si>
    <t xml:space="preserve">Verified</t>
  </si>
  <si>
    <t xml:space="preserve">Low</t>
  </si>
  <si>
    <t xml:space="preserve">2025-12-18</t>
  </si>
  <si>
    <t xml:space="preserve">2025-12-20</t>
  </si>
  <si>
    <t xml:space="preserve">Approved</t>
  </si>
  <si>
    <t xml:space="preserve">APP0002</t>
  </si>
  <si>
    <t xml:space="preserve">CUST0002</t>
  </si>
  <si>
    <t xml:space="preserve">Nova Textiles Ltd</t>
  </si>
  <si>
    <t xml:space="preserve">Corporate</t>
  </si>
  <si>
    <t xml:space="preserve">PAN, COI, Board Resolution, Address Proof</t>
  </si>
  <si>
    <t xml:space="preserve">2025-12-06</t>
  </si>
  <si>
    <t xml:space="preserve">2025-12-07</t>
  </si>
  <si>
    <t xml:space="preserve">APP0003</t>
  </si>
  <si>
    <t xml:space="preserve">CUST0003</t>
  </si>
  <si>
    <t xml:space="preserve">Rahul Rao</t>
  </si>
  <si>
    <t xml:space="preserve">PAN, Aadhaar, Photo</t>
  </si>
  <si>
    <t xml:space="preserve">Pending</t>
  </si>
  <si>
    <t xml:space="preserve">Medium</t>
  </si>
  <si>
    <t xml:space="preserve">2025-12-19</t>
  </si>
  <si>
    <t xml:space="preserve">APP0004</t>
  </si>
  <si>
    <t xml:space="preserve">CUST0004</t>
  </si>
  <si>
    <t xml:space="preserve">Swati Mehta</t>
  </si>
  <si>
    <t xml:space="preserve">PAN, Aadhaar, Photo, Income Proof</t>
  </si>
  <si>
    <t xml:space="preserve">2025-11-07</t>
  </si>
  <si>
    <t xml:space="preserve">2025-11-12</t>
  </si>
  <si>
    <t xml:space="preserve">APP0005</t>
  </si>
  <si>
    <t xml:space="preserve">CUST0005</t>
  </si>
  <si>
    <t xml:space="preserve">Tanvi Saxena</t>
  </si>
  <si>
    <t xml:space="preserve">Aadhaar, Photo (PAN missing)</t>
  </si>
  <si>
    <t xml:space="preserve">Incomplete</t>
  </si>
  <si>
    <t xml:space="preserve">2025-11-06</t>
  </si>
  <si>
    <t xml:space="preserve">APP0006</t>
  </si>
  <si>
    <t xml:space="preserve">CUST0006</t>
  </si>
  <si>
    <t xml:space="preserve">Radhika Malhotra</t>
  </si>
  <si>
    <t xml:space="preserve">2025-11-03</t>
  </si>
  <si>
    <t xml:space="preserve">2025-11-09</t>
  </si>
  <si>
    <t xml:space="preserve">APP0007</t>
  </si>
  <si>
    <t xml:space="preserve">CUST0007</t>
  </si>
  <si>
    <t xml:space="preserve">Rahul Iyer</t>
  </si>
  <si>
    <t xml:space="preserve">2025-12-11</t>
  </si>
  <si>
    <t xml:space="preserve">APP0008</t>
  </si>
  <si>
    <t xml:space="preserve">CUST0008</t>
  </si>
  <si>
    <t xml:space="preserve">Sanjay Malhotra</t>
  </si>
  <si>
    <t xml:space="preserve">Failed</t>
  </si>
  <si>
    <t xml:space="preserve">2025-12-15</t>
  </si>
  <si>
    <t xml:space="preserve">2025-12-16</t>
  </si>
  <si>
    <t xml:space="preserve">Rejected</t>
  </si>
  <si>
    <t xml:space="preserve">Document authenticity could not be confirmed</t>
  </si>
  <si>
    <t xml:space="preserve">APP0009</t>
  </si>
  <si>
    <t xml:space="preserve">CUST0009</t>
  </si>
  <si>
    <t xml:space="preserve">Sneha Reddy</t>
  </si>
  <si>
    <t xml:space="preserve">2025-12-12</t>
  </si>
  <si>
    <t xml:space="preserve">APP0010</t>
  </si>
  <si>
    <t xml:space="preserve">CUST0010</t>
  </si>
  <si>
    <t xml:space="preserve">Neha Singh</t>
  </si>
  <si>
    <t xml:space="preserve">2025-11-26</t>
  </si>
  <si>
    <t xml:space="preserve">2025-12-02</t>
  </si>
  <si>
    <t xml:space="preserve">APP0011</t>
  </si>
  <si>
    <t xml:space="preserve">CUST0011</t>
  </si>
  <si>
    <t xml:space="preserve">Bhavna Chopra</t>
  </si>
  <si>
    <t xml:space="preserve">High</t>
  </si>
  <si>
    <t xml:space="preserve">2025-11-10</t>
  </si>
  <si>
    <t xml:space="preserve">APP0012</t>
  </si>
  <si>
    <t xml:space="preserve">CUST0012</t>
  </si>
  <si>
    <t xml:space="preserve">Prime Steel Traders</t>
  </si>
  <si>
    <t xml:space="preserve">PAN, COI, GST Certificate (Board Resolution pending)</t>
  </si>
  <si>
    <t xml:space="preserve">APP0013</t>
  </si>
  <si>
    <t xml:space="preserve">CUST0013</t>
  </si>
  <si>
    <t xml:space="preserve">Simran Chopra</t>
  </si>
  <si>
    <t xml:space="preserve">2025-12-03</t>
  </si>
  <si>
    <t xml:space="preserve">2025-12-10</t>
  </si>
  <si>
    <t xml:space="preserve">APP0014</t>
  </si>
  <si>
    <t xml:space="preserve">CUST0014</t>
  </si>
  <si>
    <t xml:space="preserve">Ritu Reddy</t>
  </si>
  <si>
    <t xml:space="preserve">2025-12-09</t>
  </si>
  <si>
    <t xml:space="preserve">APP0015</t>
  </si>
  <si>
    <t xml:space="preserve">CUST0015</t>
  </si>
  <si>
    <t xml:space="preserve">Vertex Auto Components</t>
  </si>
  <si>
    <t xml:space="preserve">PAN, COI, Address Proof, Authorised Signatory ID</t>
  </si>
  <si>
    <t xml:space="preserve">2025-12-04</t>
  </si>
  <si>
    <t xml:space="preserve">2025-12-05</t>
  </si>
  <si>
    <t xml:space="preserve">APP0016</t>
  </si>
  <si>
    <t xml:space="preserve">CUST0016</t>
  </si>
  <si>
    <t xml:space="preserve">Everest Handicrafts Pvt Ltd</t>
  </si>
  <si>
    <t xml:space="preserve">2025-11-08</t>
  </si>
  <si>
    <t xml:space="preserve">APP0017</t>
  </si>
  <si>
    <t xml:space="preserve">CUST0017</t>
  </si>
  <si>
    <t xml:space="preserve">Sunrise Foods Pvt Ltd</t>
  </si>
  <si>
    <t xml:space="preserve">APP0018</t>
  </si>
  <si>
    <t xml:space="preserve">CUST0018</t>
  </si>
  <si>
    <t xml:space="preserve">Gaurav Iyer</t>
  </si>
  <si>
    <t xml:space="preserve">2025-12-24</t>
  </si>
  <si>
    <t xml:space="preserve">2025-12-29</t>
  </si>
  <si>
    <t xml:space="preserve">APP0019</t>
  </si>
  <si>
    <t xml:space="preserve">CUST0019</t>
  </si>
  <si>
    <t xml:space="preserve">Orchid Pharma Distributors</t>
  </si>
  <si>
    <t xml:space="preserve">APP0020</t>
  </si>
  <si>
    <t xml:space="preserve">CUST0020</t>
  </si>
  <si>
    <t xml:space="preserve">Nisha Singh</t>
  </si>
  <si>
    <t xml:space="preserve">APP0021</t>
  </si>
  <si>
    <t xml:space="preserve">CUST0021</t>
  </si>
  <si>
    <t xml:space="preserve">Rajeev Nair</t>
  </si>
  <si>
    <t xml:space="preserve">APP0022</t>
  </si>
  <si>
    <t xml:space="preserve">CUST0022</t>
  </si>
  <si>
    <t xml:space="preserve">Horizon Tech Solutions</t>
  </si>
  <si>
    <t xml:space="preserve">2025-11-14</t>
  </si>
  <si>
    <t xml:space="preserve">2025-11-21</t>
  </si>
  <si>
    <t xml:space="preserve">Customer did not respond to verification query</t>
  </si>
  <si>
    <t xml:space="preserve">APP0023</t>
  </si>
  <si>
    <t xml:space="preserve">CUST0023</t>
  </si>
  <si>
    <t xml:space="preserve">Shalini Rao</t>
  </si>
  <si>
    <t xml:space="preserve">APP0024</t>
  </si>
  <si>
    <t xml:space="preserve">CUST0024</t>
  </si>
  <si>
    <t xml:space="preserve">Bluewave Logistics Pvt Ltd</t>
  </si>
  <si>
    <t xml:space="preserve">PAN, COI, GST Certificate, Board Resolution</t>
  </si>
  <si>
    <t xml:space="preserve">2025-12-08</t>
  </si>
  <si>
    <t xml:space="preserve">APP0025</t>
  </si>
  <si>
    <t xml:space="preserve">CUST0025</t>
  </si>
  <si>
    <t xml:space="preserve">Rahul Gupta</t>
  </si>
  <si>
    <t xml:space="preserve">2025-11-05</t>
  </si>
  <si>
    <t xml:space="preserve">2025-11-11</t>
  </si>
  <si>
    <t xml:space="preserve">APP0026</t>
  </si>
  <si>
    <t xml:space="preserve">CUST0026</t>
  </si>
  <si>
    <t xml:space="preserve">Vivek Agarwal</t>
  </si>
  <si>
    <t xml:space="preserve">2025-12-22</t>
  </si>
  <si>
    <t xml:space="preserve">APP0027</t>
  </si>
  <si>
    <t xml:space="preserve">CUST0027</t>
  </si>
  <si>
    <t xml:space="preserve">Arjun Iyer</t>
  </si>
  <si>
    <t xml:space="preserve">2025-11-28</t>
  </si>
  <si>
    <t xml:space="preserve">APP0028</t>
  </si>
  <si>
    <t xml:space="preserve">CUST0028</t>
  </si>
  <si>
    <t xml:space="preserve">Falcon Freight Services</t>
  </si>
  <si>
    <t xml:space="preserve">2025-11-04</t>
  </si>
  <si>
    <t xml:space="preserve">APP0029</t>
  </si>
  <si>
    <t xml:space="preserve">CUST0029</t>
  </si>
  <si>
    <t xml:space="preserve">Coastal Shipping Agency</t>
  </si>
  <si>
    <t xml:space="preserve">2025-11-18</t>
  </si>
  <si>
    <t xml:space="preserve">2025-11-24</t>
  </si>
  <si>
    <t xml:space="preserve">APP0030</t>
  </si>
  <si>
    <t xml:space="preserve">CUST0030</t>
  </si>
  <si>
    <t xml:space="preserve">Crimson Retail Ventures</t>
  </si>
  <si>
    <t xml:space="preserve">Address proof did not match application details</t>
  </si>
  <si>
    <t xml:space="preserve">APP0031</t>
  </si>
  <si>
    <t xml:space="preserve">CUST0031</t>
  </si>
  <si>
    <t xml:space="preserve">Preeti Verma</t>
  </si>
  <si>
    <t xml:space="preserve">2025-11-25</t>
  </si>
  <si>
    <t xml:space="preserve">2025-11-27</t>
  </si>
  <si>
    <t xml:space="preserve">APP0032</t>
  </si>
  <si>
    <t xml:space="preserve">CUST0032</t>
  </si>
  <si>
    <t xml:space="preserve">Komal Saxena</t>
  </si>
  <si>
    <t xml:space="preserve">APP0033</t>
  </si>
  <si>
    <t xml:space="preserve">CUST0033</t>
  </si>
  <si>
    <t xml:space="preserve">Greenfield Agro Pvt Ltd</t>
  </si>
  <si>
    <t xml:space="preserve">2025-12-26</t>
  </si>
  <si>
    <t xml:space="preserve">APP0034</t>
  </si>
  <si>
    <t xml:space="preserve">CUST0034</t>
  </si>
  <si>
    <t xml:space="preserve">Neha Menon</t>
  </si>
  <si>
    <t xml:space="preserve">APP0035</t>
  </si>
  <si>
    <t xml:space="preserve">CUST0035</t>
  </si>
  <si>
    <t xml:space="preserve">Trident Exports Pvt Ltd</t>
  </si>
  <si>
    <t xml:space="preserve">2025-12-13</t>
  </si>
  <si>
    <t xml:space="preserve">APP0036</t>
  </si>
  <si>
    <t xml:space="preserve">CUST0036</t>
  </si>
  <si>
    <t xml:space="preserve">Karan Patel</t>
  </si>
  <si>
    <t xml:space="preserve">2025-11-16</t>
  </si>
  <si>
    <t xml:space="preserve">2025-11-19</t>
  </si>
  <si>
    <t xml:space="preserve">APP0037</t>
  </si>
  <si>
    <t xml:space="preserve">CUST0037</t>
  </si>
  <si>
    <t xml:space="preserve">Tanvi Kapoor</t>
  </si>
  <si>
    <t xml:space="preserve">2025-11-01</t>
  </si>
  <si>
    <t xml:space="preserve">2025-11-13</t>
  </si>
  <si>
    <t xml:space="preserve">APP0038</t>
  </si>
  <si>
    <t xml:space="preserve">CUST0038</t>
  </si>
  <si>
    <t xml:space="preserve">Maple Consulting LLP</t>
  </si>
  <si>
    <t xml:space="preserve">APP0039</t>
  </si>
  <si>
    <t xml:space="preserve">CUST0039</t>
  </si>
  <si>
    <t xml:space="preserve">Shalini Joshi</t>
  </si>
  <si>
    <t xml:space="preserve">APP0040</t>
  </si>
  <si>
    <t xml:space="preserve">CUST0040</t>
  </si>
  <si>
    <t xml:space="preserve">Aarti Joshi</t>
  </si>
  <si>
    <t xml:space="preserve">APP0041</t>
  </si>
  <si>
    <t xml:space="preserve">CUST0041</t>
  </si>
  <si>
    <t xml:space="preserve">Silverline Constructions</t>
  </si>
  <si>
    <t xml:space="preserve">2025-12-14</t>
  </si>
  <si>
    <t xml:space="preserve">2025-12-17</t>
  </si>
  <si>
    <t xml:space="preserve">APP0042</t>
  </si>
  <si>
    <t xml:space="preserve">CUST0042</t>
  </si>
  <si>
    <t xml:space="preserve">Neha Gupta</t>
  </si>
  <si>
    <t xml:space="preserve">APP0043</t>
  </si>
  <si>
    <t xml:space="preserve">CUST0043</t>
  </si>
  <si>
    <t xml:space="preserve">Aarti Bansal</t>
  </si>
  <si>
    <t xml:space="preserve">APP0044</t>
  </si>
  <si>
    <t xml:space="preserve">CUST0044</t>
  </si>
  <si>
    <t xml:space="preserve">Rajeev Verma</t>
  </si>
  <si>
    <t xml:space="preserve">2025-12-01</t>
  </si>
  <si>
    <t xml:space="preserve">APP0045</t>
  </si>
  <si>
    <t xml:space="preserve">CUST0045</t>
  </si>
  <si>
    <t xml:space="preserve">Nikhil Patel</t>
  </si>
  <si>
    <t xml:space="preserve">2025-11-23</t>
  </si>
  <si>
    <t xml:space="preserve">APP0046</t>
  </si>
  <si>
    <t xml:space="preserve">CUST0046</t>
  </si>
  <si>
    <t xml:space="preserve">Radhika Nair</t>
  </si>
  <si>
    <t xml:space="preserve">2026-01-02</t>
  </si>
  <si>
    <t xml:space="preserve">APP0047</t>
  </si>
  <si>
    <t xml:space="preserve">CUST0047</t>
  </si>
  <si>
    <t xml:space="preserve">Swati Bansal</t>
  </si>
  <si>
    <t xml:space="preserve">APP0048</t>
  </si>
  <si>
    <t xml:space="preserve">CUST0048</t>
  </si>
  <si>
    <t xml:space="preserve">Aman Pillai</t>
  </si>
  <si>
    <t xml:space="preserve">APP0049</t>
  </si>
  <si>
    <t xml:space="preserve">CUST0049</t>
  </si>
  <si>
    <t xml:space="preserve">Rahul Singh</t>
  </si>
  <si>
    <t xml:space="preserve">APP0050</t>
  </si>
  <si>
    <t xml:space="preserve">CUST0050</t>
  </si>
  <si>
    <t xml:space="preserve">Preeti Saxena</t>
  </si>
  <si>
    <t xml:space="preserve">PAYMENT PROCESSING - Transaction Register</t>
  </si>
  <si>
    <t xml:space="preserve">Transaction ID</t>
  </si>
  <si>
    <t xml:space="preserve">Payment Type</t>
  </si>
  <si>
    <t xml:space="preserve">Amount (INR)</t>
  </si>
  <si>
    <t xml:space="preserve">Maker</t>
  </si>
  <si>
    <t xml:space="preserve">Checker</t>
  </si>
  <si>
    <t xml:space="preserve">Approval Status</t>
  </si>
  <si>
    <t xml:space="preserve">Payment Status</t>
  </si>
  <si>
    <t xml:space="preserve">Processing TAT (Days)</t>
  </si>
  <si>
    <t xml:space="preserve">Payment Date</t>
  </si>
  <si>
    <t xml:space="preserve">TXN00001</t>
  </si>
  <si>
    <t xml:space="preserve">UPI</t>
  </si>
  <si>
    <t xml:space="preserve">Ops Analyst - A. Verma</t>
  </si>
  <si>
    <t xml:space="preserve">Ops Supervisor - K. Das</t>
  </si>
  <si>
    <t xml:space="preserve">Success</t>
  </si>
  <si>
    <t xml:space="preserve">2025-12-28</t>
  </si>
  <si>
    <t xml:space="preserve">TXN00002</t>
  </si>
  <si>
    <t xml:space="preserve">NEFT</t>
  </si>
  <si>
    <t xml:space="preserve">Ops Supervisor - T. Singh</t>
  </si>
  <si>
    <t xml:space="preserve">TXN00003</t>
  </si>
  <si>
    <t xml:space="preserve">IMPS</t>
  </si>
  <si>
    <t xml:space="preserve">Ops Analyst - R. Nair</t>
  </si>
  <si>
    <t xml:space="preserve">TXN00004</t>
  </si>
  <si>
    <t xml:space="preserve">Ops Analyst - S. Iyer</t>
  </si>
  <si>
    <t xml:space="preserve">Ops Supervisor - V. Menon</t>
  </si>
  <si>
    <t xml:space="preserve">TXN00005</t>
  </si>
  <si>
    <t xml:space="preserve">2025-12-25</t>
  </si>
  <si>
    <t xml:space="preserve">TXN00006</t>
  </si>
  <si>
    <t xml:space="preserve">Ops Analyst - M. Rao</t>
  </si>
  <si>
    <t xml:space="preserve">TXN00007</t>
  </si>
  <si>
    <t xml:space="preserve">Ops Analyst - P. Kapoor</t>
  </si>
  <si>
    <t xml:space="preserve">TXN00008</t>
  </si>
  <si>
    <t xml:space="preserve">RTGS</t>
  </si>
  <si>
    <t xml:space="preserve">TXN00009</t>
  </si>
  <si>
    <t xml:space="preserve">TXN00010</t>
  </si>
  <si>
    <t xml:space="preserve">TXN00011</t>
  </si>
  <si>
    <t xml:space="preserve">TXN00012</t>
  </si>
  <si>
    <t xml:space="preserve">TXN00013</t>
  </si>
  <si>
    <t xml:space="preserve">TXN00014</t>
  </si>
  <si>
    <t xml:space="preserve">2025-12-31</t>
  </si>
  <si>
    <t xml:space="preserve">TXN00015</t>
  </si>
  <si>
    <t xml:space="preserve">TXN00016</t>
  </si>
  <si>
    <t xml:space="preserve">TXN00017</t>
  </si>
  <si>
    <t xml:space="preserve">2025-12-27</t>
  </si>
  <si>
    <t xml:space="preserve">TXN00018</t>
  </si>
  <si>
    <t xml:space="preserve">TXN00019</t>
  </si>
  <si>
    <t xml:space="preserve">TXN00020</t>
  </si>
  <si>
    <t xml:space="preserve">TXN00021</t>
  </si>
  <si>
    <t xml:space="preserve">Reversed</t>
  </si>
  <si>
    <t xml:space="preserve">TXN00022</t>
  </si>
  <si>
    <t xml:space="preserve">TXN00023</t>
  </si>
  <si>
    <t xml:space="preserve">2025-12-21</t>
  </si>
  <si>
    <t xml:space="preserve">TXN00024</t>
  </si>
  <si>
    <t xml:space="preserve">TXN00025</t>
  </si>
  <si>
    <t xml:space="preserve">TXN00026</t>
  </si>
  <si>
    <t xml:space="preserve">TXN00027</t>
  </si>
  <si>
    <t xml:space="preserve">TXN00028</t>
  </si>
  <si>
    <t xml:space="preserve">TXN00029</t>
  </si>
  <si>
    <t xml:space="preserve">TXN00030</t>
  </si>
  <si>
    <t xml:space="preserve">TXN00031</t>
  </si>
  <si>
    <t xml:space="preserve">2025-12-30</t>
  </si>
  <si>
    <t xml:space="preserve">TXN00032</t>
  </si>
  <si>
    <t xml:space="preserve">2026-01-04</t>
  </si>
  <si>
    <t xml:space="preserve">TXN00033</t>
  </si>
  <si>
    <t xml:space="preserve">TXN00034</t>
  </si>
  <si>
    <t xml:space="preserve">TXN00035</t>
  </si>
  <si>
    <t xml:space="preserve">TXN00036</t>
  </si>
  <si>
    <t xml:space="preserve">2026-01-05</t>
  </si>
  <si>
    <t xml:space="preserve">TXN00037</t>
  </si>
  <si>
    <t xml:space="preserve">TXN00038</t>
  </si>
  <si>
    <t xml:space="preserve">2026-01-03</t>
  </si>
  <si>
    <t xml:space="preserve">TXN00039</t>
  </si>
  <si>
    <t xml:space="preserve">TXN00040</t>
  </si>
  <si>
    <t xml:space="preserve">TXN00041</t>
  </si>
  <si>
    <t xml:space="preserve">TXN00042</t>
  </si>
  <si>
    <t xml:space="preserve">TXN00043</t>
  </si>
  <si>
    <t xml:space="preserve">TXN00044</t>
  </si>
  <si>
    <t xml:space="preserve">TXN00045</t>
  </si>
  <si>
    <t xml:space="preserve">TXN00046</t>
  </si>
  <si>
    <t xml:space="preserve">SWIFT</t>
  </si>
  <si>
    <t xml:space="preserve">TXN00047</t>
  </si>
  <si>
    <t xml:space="preserve">TXN00048</t>
  </si>
  <si>
    <t xml:space="preserve">TXN00049</t>
  </si>
  <si>
    <t xml:space="preserve">TXN00050</t>
  </si>
  <si>
    <t xml:space="preserve">TXN00051</t>
  </si>
  <si>
    <t xml:space="preserve">TXN00052</t>
  </si>
  <si>
    <t xml:space="preserve">TXN00053</t>
  </si>
  <si>
    <t xml:space="preserve">TXN00054</t>
  </si>
  <si>
    <t xml:space="preserve">TXN00055</t>
  </si>
  <si>
    <t xml:space="preserve">TXN00056</t>
  </si>
  <si>
    <t xml:space="preserve">TXN00057</t>
  </si>
  <si>
    <t xml:space="preserve">TXN00058</t>
  </si>
  <si>
    <t xml:space="preserve">2026-01-01</t>
  </si>
  <si>
    <t xml:space="preserve">TXN00059</t>
  </si>
  <si>
    <t xml:space="preserve">TXN00060</t>
  </si>
  <si>
    <t xml:space="preserve">TXN00061</t>
  </si>
  <si>
    <t xml:space="preserve">TXN00062</t>
  </si>
  <si>
    <t xml:space="preserve">TXN00063</t>
  </si>
  <si>
    <t xml:space="preserve">TXN00064</t>
  </si>
  <si>
    <t xml:space="preserve">TXN00065</t>
  </si>
  <si>
    <t xml:space="preserve">TXN00066</t>
  </si>
  <si>
    <t xml:space="preserve">TXN00067</t>
  </si>
  <si>
    <t xml:space="preserve">TXN00068</t>
  </si>
  <si>
    <t xml:space="preserve">TXN00069</t>
  </si>
  <si>
    <t xml:space="preserve">TXN00070</t>
  </si>
  <si>
    <t xml:space="preserve">TXN00071</t>
  </si>
  <si>
    <t xml:space="preserve">TXN00072</t>
  </si>
  <si>
    <t xml:space="preserve">TXN00073</t>
  </si>
  <si>
    <t xml:space="preserve">TXN00074</t>
  </si>
  <si>
    <t xml:space="preserve">TXN00075</t>
  </si>
  <si>
    <t xml:space="preserve">TXN00076</t>
  </si>
  <si>
    <t xml:space="preserve">TXN00077</t>
  </si>
  <si>
    <t xml:space="preserve">2025-12-23</t>
  </si>
  <si>
    <t xml:space="preserve">TXN00078</t>
  </si>
  <si>
    <t xml:space="preserve">TXN00079</t>
  </si>
  <si>
    <t xml:space="preserve">TXN00080</t>
  </si>
  <si>
    <t xml:space="preserve">TXN00081</t>
  </si>
  <si>
    <t xml:space="preserve">TXN00082</t>
  </si>
  <si>
    <t xml:space="preserve">TXN00083</t>
  </si>
  <si>
    <t xml:space="preserve">TXN00084</t>
  </si>
  <si>
    <t xml:space="preserve">TXN00085</t>
  </si>
  <si>
    <t xml:space="preserve">TXN00086</t>
  </si>
  <si>
    <t xml:space="preserve">TXN00087</t>
  </si>
  <si>
    <t xml:space="preserve">TXN00088</t>
  </si>
  <si>
    <t xml:space="preserve">TXN00089</t>
  </si>
  <si>
    <t xml:space="preserve">TXN00090</t>
  </si>
  <si>
    <t xml:space="preserve">TXN00091</t>
  </si>
  <si>
    <t xml:space="preserve">TXN00092</t>
  </si>
  <si>
    <t xml:space="preserve">TXN00093</t>
  </si>
  <si>
    <t xml:space="preserve">TXN00094</t>
  </si>
  <si>
    <t xml:space="preserve">TXN00095</t>
  </si>
  <si>
    <t xml:space="preserve">TXN00096</t>
  </si>
  <si>
    <t xml:space="preserve">TXN00097</t>
  </si>
  <si>
    <t xml:space="preserve">TXN00098</t>
  </si>
  <si>
    <t xml:space="preserve">TXN00099</t>
  </si>
  <si>
    <t xml:space="preserve">TXN00100</t>
  </si>
  <si>
    <t xml:space="preserve">TXN00101</t>
  </si>
  <si>
    <t xml:space="preserve">TXN00102</t>
  </si>
  <si>
    <t xml:space="preserve">TXN00103</t>
  </si>
  <si>
    <t xml:space="preserve">TXN00104</t>
  </si>
  <si>
    <t xml:space="preserve">TXN00105</t>
  </si>
  <si>
    <t xml:space="preserve">TXN00106</t>
  </si>
  <si>
    <t xml:space="preserve">TXN00107</t>
  </si>
  <si>
    <t xml:space="preserve">TXN00108</t>
  </si>
  <si>
    <t xml:space="preserve">TXN00109</t>
  </si>
  <si>
    <t xml:space="preserve">TXN00110</t>
  </si>
  <si>
    <t xml:space="preserve">TXN00111</t>
  </si>
  <si>
    <t xml:space="preserve">TXN00112</t>
  </si>
  <si>
    <t xml:space="preserve">TXN00113</t>
  </si>
  <si>
    <t xml:space="preserve">TXN00114</t>
  </si>
  <si>
    <t xml:space="preserve">TXN00115</t>
  </si>
  <si>
    <t xml:space="preserve">TXN00116</t>
  </si>
  <si>
    <t xml:space="preserve">TXN00117</t>
  </si>
  <si>
    <t xml:space="preserve">TXN00118</t>
  </si>
  <si>
    <t xml:space="preserve">TXN00119</t>
  </si>
  <si>
    <t xml:space="preserve">TXN00120</t>
  </si>
  <si>
    <t xml:space="preserve">EXCEPTION MANAGEMENT - Exception Queue (linked to Payment Processing)</t>
  </si>
  <si>
    <t xml:space="preserve">Exception ID</t>
  </si>
  <si>
    <t xml:space="preserve">Linked Transaction ID</t>
  </si>
  <si>
    <t xml:space="preserve">Exception Category</t>
  </si>
  <si>
    <t xml:space="preserve">Root Cause</t>
  </si>
  <si>
    <t xml:space="preserve">Resolution Action</t>
  </si>
  <si>
    <t xml:space="preserve">Owner</t>
  </si>
  <si>
    <t xml:space="preserve">Resolution TAT (Days)</t>
  </si>
  <si>
    <t xml:space="preserve">Current Status</t>
  </si>
  <si>
    <t xml:space="preserve">EXC001</t>
  </si>
  <si>
    <t xml:space="preserve">Beneficiary Validation Failure</t>
  </si>
  <si>
    <t xml:space="preserve">Beneficiary name did not match bank records</t>
  </si>
  <si>
    <t xml:space="preserve">Escalated</t>
  </si>
  <si>
    <t xml:space="preserve">Compliance Team</t>
  </si>
  <si>
    <t xml:space="preserve">EXC002</t>
  </si>
  <si>
    <t xml:space="preserve">Wrong IFSC</t>
  </si>
  <si>
    <t xml:space="preserve">IFSC code did not match beneficiary bank branch</t>
  </si>
  <si>
    <t xml:space="preserve">Manual Correction</t>
  </si>
  <si>
    <t xml:space="preserve">Operations Team</t>
  </si>
  <si>
    <t xml:space="preserve">EXC003</t>
  </si>
  <si>
    <t xml:space="preserve">Resolved</t>
  </si>
  <si>
    <t xml:space="preserve">EXC004</t>
  </si>
  <si>
    <t xml:space="preserve">Insufficient Funds</t>
  </si>
  <si>
    <t xml:space="preserve">Customer account did not have sufficient balance at processing time</t>
  </si>
  <si>
    <t xml:space="preserve">Retry</t>
  </si>
  <si>
    <t xml:space="preserve">EXC005</t>
  </si>
  <si>
    <t xml:space="preserve">EXC006</t>
  </si>
  <si>
    <t xml:space="preserve">EXC007</t>
  </si>
  <si>
    <t xml:space="preserve">Duplicate Payment</t>
  </si>
  <si>
    <t xml:space="preserve">Same payment instruction submitted twice by customer</t>
  </si>
  <si>
    <t xml:space="preserve">Reversal</t>
  </si>
  <si>
    <t xml:space="preserve">EXC008</t>
  </si>
  <si>
    <t xml:space="preserve">Invalid Account Number</t>
  </si>
  <si>
    <t xml:space="preserve">Customer entered incorrect beneficiary account number</t>
  </si>
  <si>
    <t xml:space="preserve">EXC009</t>
  </si>
  <si>
    <t xml:space="preserve">Network Timeout</t>
  </si>
  <si>
    <t xml:space="preserve">Payment gateway timeout during transaction processing</t>
  </si>
  <si>
    <t xml:space="preserve">EXC010</t>
  </si>
  <si>
    <t xml:space="preserve">Sanctions Hold</t>
  </si>
  <si>
    <t xml:space="preserve">Transaction held for sanctions screening review</t>
  </si>
  <si>
    <t xml:space="preserve">EXC011</t>
  </si>
  <si>
    <t xml:space="preserve">EXC012</t>
  </si>
  <si>
    <t xml:space="preserve">EXC013</t>
  </si>
  <si>
    <t xml:space="preserve">EXC014</t>
  </si>
  <si>
    <t xml:space="preserve">Reversed Payment</t>
  </si>
  <si>
    <t xml:space="preserve">Payment reversed after beneficiary bank rejected credit</t>
  </si>
  <si>
    <t xml:space="preserve">EXC015</t>
  </si>
  <si>
    <t xml:space="preserve">EXC016</t>
  </si>
  <si>
    <t xml:space="preserve">EXC017</t>
  </si>
  <si>
    <t xml:space="preserve">EXC018</t>
  </si>
  <si>
    <t xml:space="preserve">EXC019</t>
  </si>
  <si>
    <t xml:space="preserve">EXC020</t>
  </si>
  <si>
    <t xml:space="preserve">BANKING OPERATIONS DASHBOARD</t>
  </si>
  <si>
    <t xml:space="preserve">Client Onboarding | Payment Processing | Exception Management</t>
  </si>
  <si>
    <t xml:space="preserve">Total Applications</t>
  </si>
  <si>
    <t xml:space="preserve">Applications Approved</t>
  </si>
  <si>
    <t xml:space="preserve">Applications Pending</t>
  </si>
  <si>
    <t xml:space="preserve">Applications Rejected</t>
  </si>
  <si>
    <t xml:space="preserve">Approval Rate</t>
  </si>
  <si>
    <t xml:space="preserve">Avg Onboarding TAT (Days)</t>
  </si>
  <si>
    <t xml:space="preserve">SLA Compliance %</t>
  </si>
  <si>
    <t xml:space="preserve">Payments Processed</t>
  </si>
  <si>
    <t xml:space="preserve">Payment Success Rate</t>
  </si>
  <si>
    <t xml:space="preserve">Failed Payments</t>
  </si>
  <si>
    <t xml:space="preserve">Pending Payments</t>
  </si>
  <si>
    <t xml:space="preserve">Reversed Payments</t>
  </si>
  <si>
    <t xml:space="preserve">Total Exceptions</t>
  </si>
  <si>
    <t xml:space="preserve">Avg Resolution TAT (Days)</t>
  </si>
  <si>
    <t xml:space="preserve">Exceptions Resolved</t>
  </si>
  <si>
    <t xml:space="preserve">Exceptions Pending</t>
  </si>
  <si>
    <t xml:space="preserve">Chart Data Tables (supporting the visuals below)</t>
  </si>
  <si>
    <t xml:space="preserve">Count</t>
  </si>
  <si>
    <t xml:space="preserve">Avg TAT (Days)</t>
  </si>
  <si>
    <t xml:space="preserve">Avg Resolution TAT</t>
  </si>
  <si>
    <t xml:space="preserve">LOOKUP TOOLS — Customer Search (demonstrates XLOOKUP &amp; INDEX-MATCH)</t>
  </si>
  <si>
    <t xml:space="preserve">Tip: change the Customer ID above to search any onboarding record instantly.</t>
  </si>
  <si>
    <t xml:space="preserve">Enter Customer ID:</t>
  </si>
  <si>
    <t xml:space="preserve">Customer Name (INDEX-MATCH)</t>
  </si>
  <si>
    <t xml:space="preserve">Customer Type (INDEX-MATCH)</t>
  </si>
  <si>
    <t xml:space="preserve">Risk Category (INDEX-MATCH)</t>
  </si>
  <si>
    <t xml:space="preserve">Final Status (INDEX-MATCH)</t>
  </si>
  <si>
    <t xml:space="preserve">PAYMENT VOLUME BY TYPE — Successful Payments (SUMIFS)</t>
  </si>
  <si>
    <t xml:space="preserve">Total Amount (INR)</t>
  </si>
  <si>
    <t xml:space="preserve">Transaction Count</t>
  </si>
  <si>
    <t xml:space="preserve">FORMULAS USED IN THIS WORKBOOK</t>
  </si>
  <si>
    <t xml:space="preserve">Formula</t>
  </si>
  <si>
    <t xml:space="preserve">Used In</t>
  </si>
  <si>
    <t xml:space="preserve">Purpose</t>
  </si>
  <si>
    <t xml:space="preserve">IF</t>
  </si>
  <si>
    <t xml:space="preserve">Client Onboarding (SLA Met, TAT columns)</t>
  </si>
  <si>
    <t xml:space="preserve">Flags whether an application met its SLA target</t>
  </si>
  <si>
    <t xml:space="preserve">COUNTIF / COUNTIFS</t>
  </si>
  <si>
    <t xml:space="preserve">Dashboard KPIs, chart data tables</t>
  </si>
  <si>
    <t xml:space="preserve">Counts applications/payments/exceptions by status or category</t>
  </si>
  <si>
    <t xml:space="preserve">SUMIFS</t>
  </si>
  <si>
    <t xml:space="preserve">Dashboard - Payment Volume by Type</t>
  </si>
  <si>
    <t xml:space="preserve">Totals successful payment amount per payment type</t>
  </si>
  <si>
    <t xml:space="preserve">AVERAGE / AVERAGEIFS</t>
  </si>
  <si>
    <t xml:space="preserve">Dashboard KPIs, TAT breakdowns</t>
  </si>
  <si>
    <t xml:space="preserve">Calculates average onboarding TAT and resolution TAT by category</t>
  </si>
  <si>
    <t xml:space="preserve">INDEX-MATCH</t>
  </si>
  <si>
    <t xml:space="preserve">Dashboard - Customer Lookup Tool (all 4 fields)</t>
  </si>
  <si>
    <t xml:space="preserve">Retrieves customer name, type, risk category and final status by Customer ID</t>
  </si>
  <si>
    <t xml:space="preserve">Excel Tables (structured ranges)</t>
  </si>
  <si>
    <t xml:space="preserve">Onboarding, Payments, Exceptions, Audit sheets</t>
  </si>
  <si>
    <t xml:space="preserve">Enables filter dropdowns and sorting on each register</t>
  </si>
  <si>
    <t xml:space="preserve">Conditional Formatting</t>
  </si>
  <si>
    <t xml:space="preserve">All transaction/status columns</t>
  </si>
  <si>
    <t xml:space="preserve">Highlights Approved/Rejected/Success/Failed status visually</t>
  </si>
  <si>
    <t xml:space="preserve">Data Validation</t>
  </si>
  <si>
    <t xml:space="preserve">Client Onboarding - Risk Category</t>
  </si>
  <si>
    <t xml:space="preserve">Restricts entries to Low/Medium/High only</t>
  </si>
  <si>
    <t xml:space="preserve">AUDIT TRAIL - Governance &amp; Status Change Log</t>
  </si>
  <si>
    <t xml:space="preserve">Audit ID</t>
  </si>
  <si>
    <t xml:space="preserve">Record ID</t>
  </si>
  <si>
    <t xml:space="preserve">Module</t>
  </si>
  <si>
    <t xml:space="preserve">Action</t>
  </si>
  <si>
    <t xml:space="preserve">Performed By</t>
  </si>
  <si>
    <t xml:space="preserve">Timestamp</t>
  </si>
  <si>
    <t xml:space="preserve">Previous Status</t>
  </si>
  <si>
    <t xml:space="preserve">New Status</t>
  </si>
  <si>
    <t xml:space="preserve">Reason</t>
  </si>
  <si>
    <t xml:space="preserve">AUD001</t>
  </si>
  <si>
    <t xml:space="preserve">Client Onboarding</t>
  </si>
  <si>
    <t xml:space="preserve">Status Updated</t>
  </si>
  <si>
    <t xml:space="preserve">2025-11-27 16:00</t>
  </si>
  <si>
    <t xml:space="preserve">Verification completed by checker</t>
  </si>
  <si>
    <t xml:space="preserve">AUD002</t>
  </si>
  <si>
    <t xml:space="preserve">2025-12-12 10:00</t>
  </si>
  <si>
    <t xml:space="preserve">AUD003</t>
  </si>
  <si>
    <t xml:space="preserve">Payment Processing</t>
  </si>
  <si>
    <t xml:space="preserve">2025-12-03 16:00</t>
  </si>
  <si>
    <t xml:space="preserve">Checker flagged transaction during approval review</t>
  </si>
  <si>
    <t xml:space="preserve">AUD004</t>
  </si>
  <si>
    <t xml:space="preserve">Compliance Officer - N. Bhatt</t>
  </si>
  <si>
    <t xml:space="preserve">2025-12-02 16:00</t>
  </si>
  <si>
    <t xml:space="preserve">AUD005</t>
  </si>
  <si>
    <t xml:space="preserve">AUD006</t>
  </si>
  <si>
    <t xml:space="preserve">2025-12-05 14:00</t>
  </si>
  <si>
    <t xml:space="preserve">AUD007</t>
  </si>
  <si>
    <t xml:space="preserve">Exception Management</t>
  </si>
  <si>
    <t xml:space="preserve">Exception Resolved</t>
  </si>
  <si>
    <t xml:space="preserve">2025-12-13 09:00</t>
  </si>
  <si>
    <t xml:space="preserve">Resolved via Reversal</t>
  </si>
  <si>
    <t xml:space="preserve">AUD008</t>
  </si>
  <si>
    <t xml:space="preserve">2025-12-23 10:00</t>
  </si>
  <si>
    <t xml:space="preserve">Resolved via Manual Correction</t>
  </si>
  <si>
    <t xml:space="preserve">AUD009</t>
  </si>
  <si>
    <t xml:space="preserve">2025-12-05 11:00</t>
  </si>
  <si>
    <t xml:space="preserve">AUD010</t>
  </si>
  <si>
    <t xml:space="preserve">2026-01-02 11:00</t>
  </si>
  <si>
    <t xml:space="preserve">AUD011</t>
  </si>
  <si>
    <t xml:space="preserve">2026-01-04 11:00</t>
  </si>
  <si>
    <t xml:space="preserve">Resolved via Escalated</t>
  </si>
  <si>
    <t xml:space="preserve">AUD012</t>
  </si>
  <si>
    <t xml:space="preserve">2026-01-01 17:00</t>
  </si>
  <si>
    <t xml:space="preserve">AUD013</t>
  </si>
  <si>
    <t xml:space="preserve">2025-12-29 11:00</t>
  </si>
  <si>
    <t xml:space="preserve">AUD014</t>
  </si>
  <si>
    <t xml:space="preserve">Exception Logged</t>
  </si>
  <si>
    <t xml:space="preserve">2025-12-30 16:00</t>
  </si>
  <si>
    <t xml:space="preserve">N/A</t>
  </si>
  <si>
    <t xml:space="preserve">Exception raised, awaiting resolution</t>
  </si>
  <si>
    <t xml:space="preserve">AUD015</t>
  </si>
  <si>
    <t xml:space="preserve">2025-12-05 16:00</t>
  </si>
  <si>
    <t xml:space="preserve">AUD016</t>
  </si>
  <si>
    <t xml:space="preserve">2026-01-01 14:00</t>
  </si>
  <si>
    <t xml:space="preserve">AUD017</t>
  </si>
  <si>
    <t xml:space="preserve">2025-12-07 16:00</t>
  </si>
  <si>
    <t xml:space="preserve">AUD018</t>
  </si>
  <si>
    <t xml:space="preserve">2025-12-28 17:00</t>
  </si>
  <si>
    <t xml:space="preserve">AUD019</t>
  </si>
  <si>
    <t xml:space="preserve">2025-12-09 09:00</t>
  </si>
  <si>
    <t xml:space="preserve">AUD020</t>
  </si>
  <si>
    <t xml:space="preserve">2025-12-08 10:00</t>
  </si>
  <si>
    <t xml:space="preserve">BUSINESS RULES - Client Onboarding &amp; Payment Processing</t>
  </si>
  <si>
    <t xml:space="preserve">#</t>
  </si>
  <si>
    <t xml:space="preserve">Business Rule</t>
  </si>
  <si>
    <t xml:space="preserve">RTGS payments are permitted only for amounts above Rs 2,00,000.</t>
  </si>
  <si>
    <t xml:space="preserve">Duplicate Transaction IDs are automatically rejected during payment processing.</t>
  </si>
  <si>
    <t xml:space="preserve">Customers classified as High Risk require manual document verification before approval.</t>
  </si>
  <si>
    <t xml:space="preserve">SWIFT payments require beneficiary bank validation before funds are released.</t>
  </si>
  <si>
    <t xml:space="preserve">Any payment marked Failed, Pending, or Reversed is automatically moved to the Exception Queue.</t>
  </si>
  <si>
    <t xml:space="preserve">An invalid or mismatched IFSC code results in payment rejection.</t>
  </si>
  <si>
    <t xml:space="preserve">Incomplete documentation keeps an onboarding application in Pending status until resolved.</t>
  </si>
  <si>
    <t xml:space="preserve">Rejected customers cannot initiate any payment transactions.</t>
  </si>
  <si>
    <t xml:space="preserve">The Maker and Checker for a transaction must always be two different individuals.</t>
  </si>
  <si>
    <t xml:space="preserve">Every logged exception must be assigned a Resolution Owner (Operations or Compliance Team).</t>
  </si>
  <si>
    <t xml:space="preserve">Applications pending verification for more than the SLA target are flagged as SLA breaches.</t>
  </si>
  <si>
    <t xml:space="preserve">Sanctions Hold exceptions are always routed to the Compliance Team, not Operations.</t>
  </si>
  <si>
    <t xml:space="preserve">Corporate customers must submit Certificate of Incorporation (COI) in addition to standard KYC documents.</t>
  </si>
  <si>
    <t xml:space="preserve">A transaction cannot be approved without both Maker initiation and Checker approval recorded.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</si>
</sst>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General"/>
    <numFmt numFmtId="167" formatCode="0.0%"/>
    <numFmt numFmtId="168" formatCode="0.0"/>
    <numFmt numFmtId="169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color rgb="FF808080"/>
      <name val="Cambria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>
          <bgColor rgb="FFD9D2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C0504D"/>
      <rgbColor rgb="FFFFF2CC"/>
      <rgbColor rgb="FFD9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Approval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'Operations Dashboard'!B18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'Operations Dashboard'!$A$19:$A$21</c:f>
              <c:strCache>
                <c:ptCount val="3"/>
                <c:pt idx="0">
                  <c:v>Approved</c:v>
                </c:pt>
                <c:pt idx="1">
                  <c:v>Rejected</c:v>
                </c:pt>
                <c:pt idx="2">
                  <c:v>Pending</c:v>
                </c:pt>
              </c:strCache>
            </c:strRef>
          </c:cat>
          <c:val>
            <c:numRef>
              <c:f>'Operations Dashboard'!$B$19:$B$21</c:f>
              <c:numCache>
                <c:formatCode>General</c:formatCode>
                <c:ptCount val="3"/>
                <c:pt idx="0">
                  <c:v>30</c:v>
                </c:pt>
                <c:pt idx="1">
                  <c:v>5</c:v>
                </c:pt>
                <c:pt idx="2">
                  <c:v>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'Operations Dashboard'!E18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'Operations Dashboard'!$D$19:$D$22</c:f>
              <c:strCache>
                <c:ptCount val="4"/>
                <c:pt idx="0">
                  <c:v>Success</c:v>
                </c:pt>
                <c:pt idx="1">
                  <c:v>Failed</c:v>
                </c:pt>
                <c:pt idx="2">
                  <c:v>Pending</c:v>
                </c:pt>
                <c:pt idx="3">
                  <c:v>Reversed</c:v>
                </c:pt>
              </c:strCache>
            </c:strRef>
          </c:cat>
          <c:val>
            <c:numRef>
              <c:f>'Operations Dashboard'!$E$19:$E$22</c:f>
              <c:numCache>
                <c:formatCode>General</c:formatCode>
                <c:ptCount val="4"/>
                <c:pt idx="0">
                  <c:v>100</c:v>
                </c:pt>
                <c:pt idx="1">
                  <c:v>16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Exception Category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'Operations Dashboard'!H18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Dashboard'!$G$19:$G$26</c:f>
              <c:strCache>
                <c:ptCount val="8"/>
                <c:pt idx="0">
                  <c:v>Invalid Account Number</c:v>
                </c:pt>
                <c:pt idx="1">
                  <c:v>Wrong IFSC</c:v>
                </c:pt>
                <c:pt idx="2">
                  <c:v>Beneficiary Validation Failure</c:v>
                </c:pt>
                <c:pt idx="3">
                  <c:v>Insufficient Funds</c:v>
                </c:pt>
                <c:pt idx="4">
                  <c:v>Network Timeout</c:v>
                </c:pt>
                <c:pt idx="5">
                  <c:v>Duplicate Payment</c:v>
                </c:pt>
                <c:pt idx="6">
                  <c:v>Reversed Payment</c:v>
                </c:pt>
                <c:pt idx="7">
                  <c:v>Sanctions Hold</c:v>
                </c:pt>
              </c:strCache>
            </c:strRef>
          </c:cat>
          <c:val>
            <c:numRef>
              <c:f>'Operations Dashboard'!$H$19:$H$26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</c:ser>
        <c:gapWidth val="150"/>
        <c:overlap val="0"/>
        <c:axId val="29231151"/>
        <c:axId val="49209472"/>
      </c:barChart>
      <c:catAx>
        <c:axId val="292311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09472"/>
        <c:crosses val="autoZero"/>
        <c:auto val="1"/>
        <c:lblAlgn val="ctr"/>
        <c:lblOffset val="100"/>
        <c:noMultiLvlLbl val="0"/>
      </c:catAx>
      <c:valAx>
        <c:axId val="49209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31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Processing TAT by Payment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'Operations Dashboard'!B29</c:f>
              <c:strCache>
                <c:ptCount val="1"/>
                <c:pt idx="0">
                  <c:v>Avg TAT (Days)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Dashboard'!$A$30:$A$34</c:f>
              <c:strCache>
                <c:ptCount val="5"/>
                <c:pt idx="0">
                  <c:v>UPI</c:v>
                </c:pt>
                <c:pt idx="1">
                  <c:v>IMPS</c:v>
                </c:pt>
                <c:pt idx="2">
                  <c:v>NEFT</c:v>
                </c:pt>
                <c:pt idx="3">
                  <c:v>RTGS</c:v>
                </c:pt>
                <c:pt idx="4">
                  <c:v>SWIFT</c:v>
                </c:pt>
              </c:strCache>
            </c:strRef>
          </c:cat>
          <c:val>
            <c:numRef>
              <c:f>'Operations Dashboard'!$B$30:$B$34</c:f>
              <c:numCache>
                <c:formatCode>0.00</c:formatCode>
                <c:ptCount val="5"/>
                <c:pt idx="0">
                  <c:v>0.783783783783784</c:v>
                </c:pt>
                <c:pt idx="1">
                  <c:v>0.9375</c:v>
                </c:pt>
                <c:pt idx="2">
                  <c:v>0.695833333333333</c:v>
                </c:pt>
                <c:pt idx="3">
                  <c:v>0.89</c:v>
                </c:pt>
                <c:pt idx="4">
                  <c:v>0.78</c:v>
                </c:pt>
              </c:numCache>
            </c:numRef>
          </c:val>
        </c:ser>
        <c:gapWidth val="150"/>
        <c:overlap val="0"/>
        <c:axId val="6798693"/>
        <c:axId val="66834237"/>
      </c:barChart>
      <c:catAx>
        <c:axId val="6798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34237"/>
        <c:crosses val="autoZero"/>
        <c:auto val="1"/>
        <c:lblAlgn val="ctr"/>
        <c:lblOffset val="100"/>
        <c:noMultiLvlLbl val="0"/>
      </c:catAx>
      <c:valAx>
        <c:axId val="66834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86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Resolution TAT by Exception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'Operations Dashboard'!E29</c:f>
              <c:strCache>
                <c:ptCount val="1"/>
                <c:pt idx="0">
                  <c:v>Avg Resolution TAT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Dashboard'!$D$30:$D$37</c:f>
              <c:strCache>
                <c:ptCount val="8"/>
                <c:pt idx="0">
                  <c:v>Invalid Account Number</c:v>
                </c:pt>
                <c:pt idx="1">
                  <c:v>Wrong IFSC</c:v>
                </c:pt>
                <c:pt idx="2">
                  <c:v>Beneficiary Validation Failure</c:v>
                </c:pt>
                <c:pt idx="3">
                  <c:v>Insufficient Funds</c:v>
                </c:pt>
                <c:pt idx="4">
                  <c:v>Network Timeout</c:v>
                </c:pt>
                <c:pt idx="5">
                  <c:v>Duplicate Payment</c:v>
                </c:pt>
                <c:pt idx="6">
                  <c:v>Reversed Payment</c:v>
                </c:pt>
                <c:pt idx="7">
                  <c:v>Sanctions Hold</c:v>
                </c:pt>
              </c:strCache>
            </c:strRef>
          </c:cat>
          <c:val>
            <c:numRef>
              <c:f>'Operations Dashboard'!$E$30:$E$37</c:f>
              <c:numCache>
                <c:formatCode>0.00</c:formatCode>
                <c:ptCount val="8"/>
                <c:pt idx="0">
                  <c:v>1.25</c:v>
                </c:pt>
                <c:pt idx="1">
                  <c:v>2.65</c:v>
                </c:pt>
                <c:pt idx="2">
                  <c:v>2.65</c:v>
                </c:pt>
                <c:pt idx="3">
                  <c:v>1.8</c:v>
                </c:pt>
                <c:pt idx="4">
                  <c:v>2.55</c:v>
                </c:pt>
                <c:pt idx="5">
                  <c:v>2.1</c:v>
                </c:pt>
                <c:pt idx="6">
                  <c:v>3.5</c:v>
                </c:pt>
                <c:pt idx="7">
                  <c:v>1.9</c:v>
                </c:pt>
              </c:numCache>
            </c:numRef>
          </c:val>
        </c:ser>
        <c:gapWidth val="150"/>
        <c:overlap val="0"/>
        <c:axId val="91504843"/>
        <c:axId val="6852574"/>
      </c:barChart>
      <c:catAx>
        <c:axId val="915048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2574"/>
        <c:crosses val="autoZero"/>
        <c:auto val="1"/>
        <c:lblAlgn val="ctr"/>
        <c:lblOffset val="100"/>
        <c:noMultiLvlLbl val="0"/>
      </c:catAx>
      <c:valAx>
        <c:axId val="6852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048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87120</xdr:rowOff>
    </xdr:from>
    <xdr:to>
      <xdr:col>3</xdr:col>
      <xdr:colOff>786600</xdr:colOff>
      <xdr:row>49</xdr:row>
      <xdr:rowOff>104040</xdr:rowOff>
    </xdr:to>
    <xdr:graphicFrame>
      <xdr:nvGraphicFramePr>
        <xdr:cNvPr id="0" name="Chart 1"/>
        <xdr:cNvGraphicFramePr/>
      </xdr:nvGraphicFramePr>
      <xdr:xfrm>
        <a:off x="0" y="6831000"/>
        <a:ext cx="6284520" cy="269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35</xdr:row>
      <xdr:rowOff>87120</xdr:rowOff>
    </xdr:from>
    <xdr:to>
      <xdr:col>6</xdr:col>
      <xdr:colOff>786960</xdr:colOff>
      <xdr:row>49</xdr:row>
      <xdr:rowOff>104040</xdr:rowOff>
    </xdr:to>
    <xdr:graphicFrame>
      <xdr:nvGraphicFramePr>
        <xdr:cNvPr id="1" name="Chart 2"/>
        <xdr:cNvGraphicFramePr/>
      </xdr:nvGraphicFramePr>
      <xdr:xfrm>
        <a:off x="5497920" y="6831000"/>
        <a:ext cx="6284880" cy="269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35</xdr:row>
      <xdr:rowOff>87120</xdr:rowOff>
    </xdr:from>
    <xdr:to>
      <xdr:col>13</xdr:col>
      <xdr:colOff>226440</xdr:colOff>
      <xdr:row>49</xdr:row>
      <xdr:rowOff>104040</xdr:rowOff>
    </xdr:to>
    <xdr:graphicFrame>
      <xdr:nvGraphicFramePr>
        <xdr:cNvPr id="2" name="Chart 3"/>
        <xdr:cNvGraphicFramePr/>
      </xdr:nvGraphicFramePr>
      <xdr:xfrm>
        <a:off x="10995840" y="6831000"/>
        <a:ext cx="6949080" cy="269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51</xdr:row>
      <xdr:rowOff>57960</xdr:rowOff>
    </xdr:from>
    <xdr:to>
      <xdr:col>3</xdr:col>
      <xdr:colOff>786600</xdr:colOff>
      <xdr:row>63</xdr:row>
      <xdr:rowOff>136800</xdr:rowOff>
    </xdr:to>
    <xdr:graphicFrame>
      <xdr:nvGraphicFramePr>
        <xdr:cNvPr id="3" name="Chart 4"/>
        <xdr:cNvGraphicFramePr/>
      </xdr:nvGraphicFramePr>
      <xdr:xfrm>
        <a:off x="0" y="9868680"/>
        <a:ext cx="6284520" cy="267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0</xdr:colOff>
      <xdr:row>51</xdr:row>
      <xdr:rowOff>57960</xdr:rowOff>
    </xdr:from>
    <xdr:to>
      <xdr:col>8</xdr:col>
      <xdr:colOff>112320</xdr:colOff>
      <xdr:row>63</xdr:row>
      <xdr:rowOff>136800</xdr:rowOff>
    </xdr:to>
    <xdr:graphicFrame>
      <xdr:nvGraphicFramePr>
        <xdr:cNvPr id="4" name="Chart 5"/>
        <xdr:cNvGraphicFramePr/>
      </xdr:nvGraphicFramePr>
      <xdr:xfrm>
        <a:off x="5497920" y="9868680"/>
        <a:ext cx="9275400" cy="267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udit" displayName="tbl_Audit" ref="A3:I23" headerRowCount="1" totalsRowCount="0" totalsRowShown="0">
  <autoFilter ref="A3:I23"/>
  <tableColumns count="9">
    <tableColumn id="1" name="Audit ID"/>
    <tableColumn id="2" name="Record ID"/>
    <tableColumn id="3" name="Module"/>
    <tableColumn id="4" name="Action"/>
    <tableColumn id="5" name="Performed By"/>
    <tableColumn id="6" name="Timestamp"/>
    <tableColumn id="7" name="Previous Status"/>
    <tableColumn id="8" name="New Status"/>
    <tableColumn id="9" name="Reason"/>
  </tableColumns>
</table>
</file>

<file path=xl/tables/table2.xml><?xml version="1.0" encoding="utf-8"?>
<table xmlns="http://schemas.openxmlformats.org/spreadsheetml/2006/main" id="2" name="tbl_Exceptions" displayName="tbl_Exceptions" ref="A3:H23" headerRowCount="1" totalsRowCount="0" totalsRowShown="0">
  <autoFilter ref="A3:H23"/>
  <tableColumns count="8">
    <tableColumn id="1" name="Exception ID"/>
    <tableColumn id="2" name="Linked Transaction ID"/>
    <tableColumn id="3" name="Exception Category"/>
    <tableColumn id="4" name="Root Cause"/>
    <tableColumn id="5" name="Resolution Action"/>
    <tableColumn id="6" name="Owner"/>
    <tableColumn id="7" name="Resolution TAT (Days)"/>
    <tableColumn id="8" name="Current Status"/>
  </tableColumns>
</table>
</file>

<file path=xl/tables/table3.xml><?xml version="1.0" encoding="utf-8"?>
<table xmlns="http://schemas.openxmlformats.org/spreadsheetml/2006/main" id="3" name="tbl_Onboarding" displayName="tbl_Onboarding" ref="A3:N53" headerRowCount="1" totalsRowCount="0" totalsRowShown="0">
  <autoFilter ref="A3:N53"/>
  <tableColumns count="14">
    <tableColumn id="1" name="Application ID"/>
    <tableColumn id="2" name="Customer ID"/>
    <tableColumn id="3" name="Customer Name"/>
    <tableColumn id="4" name="Customer Type"/>
    <tableColumn id="5" name="Documents Submitted"/>
    <tableColumn id="6" name="Verification Status"/>
    <tableColumn id="7" name="Risk Category"/>
    <tableColumn id="8" name="Application Date"/>
    <tableColumn id="9" name="Decision Date"/>
    <tableColumn id="10" name="Turnaround Time (Days)"/>
    <tableColumn id="11" name="SLA Target (Days)"/>
    <tableColumn id="12" name="SLA Met"/>
    <tableColumn id="13" name="Final Status"/>
    <tableColumn id="14" name="Rejection Reason"/>
  </tableColumns>
</table>
</file>

<file path=xl/tables/table4.xml><?xml version="1.0" encoding="utf-8"?>
<table xmlns="http://schemas.openxmlformats.org/spreadsheetml/2006/main" id="4" name="tbl_Payments" displayName="tbl_Payments" ref="A3:J123" headerRowCount="1" totalsRowCount="0" totalsRowShown="0">
  <autoFilter ref="A3:J123"/>
  <tableColumns count="10">
    <tableColumn id="1" name="Transaction ID"/>
    <tableColumn id="2" name="Customer ID"/>
    <tableColumn id="3" name="Payment Type"/>
    <tableColumn id="4" name="Amount (INR)"/>
    <tableColumn id="5" name="Maker"/>
    <tableColumn id="6" name="Checker"/>
    <tableColumn id="7" name="Approval Status"/>
    <tableColumn id="8" name="Payment Status"/>
    <tableColumn id="9" name="Processing TAT (Days)"/>
    <tableColumn id="10" name="Payment 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32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10" min="8" style="1" width="14"/>
    <col collapsed="false" customWidth="true" hidden="false" outlineLevel="0" max="11" min="11" style="1" width="13"/>
    <col collapsed="false" customWidth="true" hidden="false" outlineLevel="0" max="12" min="12" style="1" width="10"/>
    <col collapsed="false" customWidth="true" hidden="false" outlineLevel="0" max="13" min="13" style="1" width="13"/>
    <col collapsed="false" customWidth="true" hidden="false" outlineLevel="0" max="14" min="14" style="1" width="34"/>
  </cols>
  <sheetData>
    <row r="1" customFormat="false" ht="15.75" hidden="false" customHeight="true" outlineLevel="0" collapsed="false">
      <c r="A1" s="2" t="s">
        <v>0</v>
      </c>
    </row>
    <row r="3" customFormat="false" ht="23.2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customFormat="false" ht="15" hidden="false" customHeight="tru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n">
        <f aca="false">IF(I4="","",I4-H4)</f>
        <v>2</v>
      </c>
      <c r="K4" s="4" t="n">
        <v>3</v>
      </c>
      <c r="L4" s="4" t="str">
        <f aca="false">IF(J4="","N/A",IF(J4&lt;=K4,"Yes","No"))</f>
        <v>Yes</v>
      </c>
      <c r="M4" s="4" t="s">
        <v>24</v>
      </c>
      <c r="N4" s="4"/>
    </row>
    <row r="5" customFormat="false" ht="15" hidden="false" customHeight="true" outlineLevel="0" collapsed="false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20</v>
      </c>
      <c r="G5" s="4" t="s">
        <v>21</v>
      </c>
      <c r="H5" s="4" t="s">
        <v>30</v>
      </c>
      <c r="I5" s="4" t="s">
        <v>31</v>
      </c>
      <c r="J5" s="4" t="n">
        <f aca="false">IF(I5="","",I5-H5)</f>
        <v>1</v>
      </c>
      <c r="K5" s="4" t="n">
        <v>3</v>
      </c>
      <c r="L5" s="4" t="str">
        <f aca="false">IF(J5="","N/A",IF(J5&lt;=K5,"Yes","No"))</f>
        <v>Yes</v>
      </c>
      <c r="M5" s="4" t="s">
        <v>24</v>
      </c>
      <c r="N5" s="4"/>
    </row>
    <row r="6" customFormat="false" ht="15" hidden="false" customHeight="true" outlineLevel="0" collapsed="false">
      <c r="A6" s="4" t="s">
        <v>32</v>
      </c>
      <c r="B6" s="4" t="s">
        <v>33</v>
      </c>
      <c r="C6" s="4" t="s">
        <v>34</v>
      </c>
      <c r="D6" s="4" t="s">
        <v>18</v>
      </c>
      <c r="E6" s="4" t="s">
        <v>35</v>
      </c>
      <c r="F6" s="4" t="s">
        <v>36</v>
      </c>
      <c r="G6" s="4" t="s">
        <v>37</v>
      </c>
      <c r="H6" s="4" t="s">
        <v>38</v>
      </c>
      <c r="I6" s="4"/>
      <c r="J6" s="4" t="str">
        <f aca="false">IF(I6="","",I6-H6)</f>
        <v/>
      </c>
      <c r="K6" s="4" t="n">
        <v>5</v>
      </c>
      <c r="L6" s="4" t="str">
        <f aca="false">IF(J6="","N/A",IF(J6&lt;=K6,"Yes","No"))</f>
        <v>N/A</v>
      </c>
      <c r="M6" s="4" t="s">
        <v>36</v>
      </c>
      <c r="N6" s="4"/>
    </row>
    <row r="7" customFormat="false" ht="15" hidden="false" customHeight="true" outlineLevel="0" collapsed="false">
      <c r="A7" s="4" t="s">
        <v>39</v>
      </c>
      <c r="B7" s="4" t="s">
        <v>40</v>
      </c>
      <c r="C7" s="4" t="s">
        <v>41</v>
      </c>
      <c r="D7" s="4" t="s">
        <v>18</v>
      </c>
      <c r="E7" s="4" t="s">
        <v>42</v>
      </c>
      <c r="F7" s="4" t="s">
        <v>20</v>
      </c>
      <c r="G7" s="4" t="s">
        <v>21</v>
      </c>
      <c r="H7" s="4" t="s">
        <v>43</v>
      </c>
      <c r="I7" s="4" t="s">
        <v>44</v>
      </c>
      <c r="J7" s="4" t="n">
        <f aca="false">IF(I7="","",I7-H7)</f>
        <v>5</v>
      </c>
      <c r="K7" s="4" t="n">
        <v>3</v>
      </c>
      <c r="L7" s="4" t="str">
        <f aca="false">IF(J7="","N/A",IF(J7&lt;=K7,"Yes","No"))</f>
        <v>No</v>
      </c>
      <c r="M7" s="4" t="s">
        <v>24</v>
      </c>
      <c r="N7" s="4"/>
    </row>
    <row r="8" customFormat="false" ht="15" hidden="false" customHeight="true" outlineLevel="0" collapsed="false">
      <c r="A8" s="4" t="s">
        <v>45</v>
      </c>
      <c r="B8" s="4" t="s">
        <v>46</v>
      </c>
      <c r="C8" s="4" t="s">
        <v>47</v>
      </c>
      <c r="D8" s="4" t="s">
        <v>18</v>
      </c>
      <c r="E8" s="4" t="s">
        <v>48</v>
      </c>
      <c r="F8" s="4" t="s">
        <v>49</v>
      </c>
      <c r="G8" s="4" t="s">
        <v>21</v>
      </c>
      <c r="H8" s="4" t="s">
        <v>50</v>
      </c>
      <c r="I8" s="4"/>
      <c r="J8" s="4" t="str">
        <f aca="false">IF(I8="","",I8-H8)</f>
        <v/>
      </c>
      <c r="K8" s="4" t="n">
        <v>3</v>
      </c>
      <c r="L8" s="4" t="str">
        <f aca="false">IF(J8="","N/A",IF(J8&lt;=K8,"Yes","No"))</f>
        <v>N/A</v>
      </c>
      <c r="M8" s="4" t="s">
        <v>36</v>
      </c>
      <c r="N8" s="4"/>
    </row>
    <row r="9" customFormat="false" ht="15" hidden="false" customHeight="true" outlineLevel="0" collapsed="false">
      <c r="A9" s="4" t="s">
        <v>51</v>
      </c>
      <c r="B9" s="4" t="s">
        <v>52</v>
      </c>
      <c r="C9" s="4" t="s">
        <v>53</v>
      </c>
      <c r="D9" s="4" t="s">
        <v>18</v>
      </c>
      <c r="E9" s="4" t="s">
        <v>35</v>
      </c>
      <c r="F9" s="4" t="s">
        <v>20</v>
      </c>
      <c r="G9" s="4" t="s">
        <v>37</v>
      </c>
      <c r="H9" s="4" t="s">
        <v>54</v>
      </c>
      <c r="I9" s="4" t="s">
        <v>55</v>
      </c>
      <c r="J9" s="4" t="n">
        <f aca="false">IF(I9="","",I9-H9)</f>
        <v>6</v>
      </c>
      <c r="K9" s="4" t="n">
        <v>5</v>
      </c>
      <c r="L9" s="4" t="str">
        <f aca="false">IF(J9="","N/A",IF(J9&lt;=K9,"Yes","No"))</f>
        <v>No</v>
      </c>
      <c r="M9" s="4" t="s">
        <v>24</v>
      </c>
      <c r="N9" s="4"/>
    </row>
    <row r="10" customFormat="false" ht="15" hidden="false" customHeight="true" outlineLevel="0" collapsed="false">
      <c r="A10" s="4" t="s">
        <v>56</v>
      </c>
      <c r="B10" s="4" t="s">
        <v>57</v>
      </c>
      <c r="C10" s="4" t="s">
        <v>58</v>
      </c>
      <c r="D10" s="4" t="s">
        <v>18</v>
      </c>
      <c r="E10" s="4" t="s">
        <v>48</v>
      </c>
      <c r="F10" s="4" t="s">
        <v>49</v>
      </c>
      <c r="G10" s="4" t="s">
        <v>21</v>
      </c>
      <c r="H10" s="4" t="s">
        <v>59</v>
      </c>
      <c r="I10" s="4"/>
      <c r="J10" s="4" t="str">
        <f aca="false">IF(I10="","",I10-H10)</f>
        <v/>
      </c>
      <c r="K10" s="4" t="n">
        <v>3</v>
      </c>
      <c r="L10" s="4" t="str">
        <f aca="false">IF(J10="","N/A",IF(J10&lt;=K10,"Yes","No"))</f>
        <v>N/A</v>
      </c>
      <c r="M10" s="4" t="s">
        <v>36</v>
      </c>
      <c r="N10" s="4"/>
    </row>
    <row r="11" customFormat="false" ht="15" hidden="false" customHeight="true" outlineLevel="0" collapsed="false">
      <c r="A11" s="4" t="s">
        <v>60</v>
      </c>
      <c r="B11" s="4" t="s">
        <v>61</v>
      </c>
      <c r="C11" s="4" t="s">
        <v>62</v>
      </c>
      <c r="D11" s="4" t="s">
        <v>18</v>
      </c>
      <c r="E11" s="4" t="s">
        <v>42</v>
      </c>
      <c r="F11" s="4" t="s">
        <v>63</v>
      </c>
      <c r="G11" s="4" t="s">
        <v>21</v>
      </c>
      <c r="H11" s="4" t="s">
        <v>64</v>
      </c>
      <c r="I11" s="4" t="s">
        <v>65</v>
      </c>
      <c r="J11" s="4" t="n">
        <f aca="false">IF(I11="","",I11-H11)</f>
        <v>1</v>
      </c>
      <c r="K11" s="4" t="n">
        <v>3</v>
      </c>
      <c r="L11" s="4" t="str">
        <f aca="false">IF(J11="","N/A",IF(J11&lt;=K11,"Yes","No"))</f>
        <v>Yes</v>
      </c>
      <c r="M11" s="4" t="s">
        <v>66</v>
      </c>
      <c r="N11" s="4" t="s">
        <v>67</v>
      </c>
    </row>
    <row r="12" customFormat="false" ht="15" hidden="false" customHeight="true" outlineLevel="0" collapsed="false">
      <c r="A12" s="4" t="s">
        <v>68</v>
      </c>
      <c r="B12" s="4" t="s">
        <v>69</v>
      </c>
      <c r="C12" s="4" t="s">
        <v>70</v>
      </c>
      <c r="D12" s="4" t="s">
        <v>18</v>
      </c>
      <c r="E12" s="4" t="s">
        <v>42</v>
      </c>
      <c r="F12" s="4" t="s">
        <v>20</v>
      </c>
      <c r="G12" s="4" t="s">
        <v>21</v>
      </c>
      <c r="H12" s="4" t="s">
        <v>59</v>
      </c>
      <c r="I12" s="4" t="s">
        <v>71</v>
      </c>
      <c r="J12" s="4" t="n">
        <f aca="false">IF(I12="","",I12-H12)</f>
        <v>1</v>
      </c>
      <c r="K12" s="4" t="n">
        <v>3</v>
      </c>
      <c r="L12" s="4" t="str">
        <f aca="false">IF(J12="","N/A",IF(J12&lt;=K12,"Yes","No"))</f>
        <v>Yes</v>
      </c>
      <c r="M12" s="4" t="s">
        <v>24</v>
      </c>
      <c r="N12" s="4"/>
    </row>
    <row r="13" customFormat="false" ht="15" hidden="false" customHeight="true" outlineLevel="0" collapsed="false">
      <c r="A13" s="4" t="s">
        <v>72</v>
      </c>
      <c r="B13" s="4" t="s">
        <v>73</v>
      </c>
      <c r="C13" s="4" t="s">
        <v>74</v>
      </c>
      <c r="D13" s="4" t="s">
        <v>18</v>
      </c>
      <c r="E13" s="4" t="s">
        <v>42</v>
      </c>
      <c r="F13" s="4" t="s">
        <v>20</v>
      </c>
      <c r="G13" s="4" t="s">
        <v>37</v>
      </c>
      <c r="H13" s="4" t="s">
        <v>75</v>
      </c>
      <c r="I13" s="4" t="s">
        <v>76</v>
      </c>
      <c r="J13" s="4" t="n">
        <f aca="false">IF(I13="","",I13-H13)</f>
        <v>6</v>
      </c>
      <c r="K13" s="4" t="n">
        <v>5</v>
      </c>
      <c r="L13" s="4" t="str">
        <f aca="false">IF(J13="","N/A",IF(J13&lt;=K13,"Yes","No"))</f>
        <v>No</v>
      </c>
      <c r="M13" s="4" t="s">
        <v>24</v>
      </c>
      <c r="N13" s="4"/>
    </row>
    <row r="14" customFormat="false" ht="15" hidden="false" customHeight="true" outlineLevel="0" collapsed="false">
      <c r="A14" s="4" t="s">
        <v>77</v>
      </c>
      <c r="B14" s="4" t="s">
        <v>78</v>
      </c>
      <c r="C14" s="4" t="s">
        <v>79</v>
      </c>
      <c r="D14" s="4" t="s">
        <v>18</v>
      </c>
      <c r="E14" s="4" t="s">
        <v>48</v>
      </c>
      <c r="F14" s="4" t="s">
        <v>49</v>
      </c>
      <c r="G14" s="4" t="s">
        <v>80</v>
      </c>
      <c r="H14" s="4" t="s">
        <v>81</v>
      </c>
      <c r="I14" s="4"/>
      <c r="J14" s="4" t="str">
        <f aca="false">IF(I14="","",I14-H14)</f>
        <v/>
      </c>
      <c r="K14" s="4" t="n">
        <v>7</v>
      </c>
      <c r="L14" s="4" t="str">
        <f aca="false">IF(J14="","N/A",IF(J14&lt;=K14,"Yes","No"))</f>
        <v>N/A</v>
      </c>
      <c r="M14" s="4" t="s">
        <v>36</v>
      </c>
      <c r="N14" s="4"/>
    </row>
    <row r="15" customFormat="false" ht="15" hidden="false" customHeight="true" outlineLevel="0" collapsed="false">
      <c r="A15" s="4" t="s">
        <v>82</v>
      </c>
      <c r="B15" s="4" t="s">
        <v>83</v>
      </c>
      <c r="C15" s="4" t="s">
        <v>84</v>
      </c>
      <c r="D15" s="4" t="s">
        <v>28</v>
      </c>
      <c r="E15" s="4" t="s">
        <v>85</v>
      </c>
      <c r="F15" s="4" t="s">
        <v>49</v>
      </c>
      <c r="G15" s="4" t="s">
        <v>37</v>
      </c>
      <c r="H15" s="4" t="s">
        <v>22</v>
      </c>
      <c r="I15" s="4"/>
      <c r="J15" s="4" t="str">
        <f aca="false">IF(I15="","",I15-H15)</f>
        <v/>
      </c>
      <c r="K15" s="4" t="n">
        <v>5</v>
      </c>
      <c r="L15" s="4" t="str">
        <f aca="false">IF(J15="","N/A",IF(J15&lt;=K15,"Yes","No"))</f>
        <v>N/A</v>
      </c>
      <c r="M15" s="4" t="s">
        <v>36</v>
      </c>
      <c r="N15" s="4"/>
    </row>
    <row r="16" customFormat="false" ht="15" hidden="false" customHeight="true" outlineLevel="0" collapsed="false">
      <c r="A16" s="4" t="s">
        <v>86</v>
      </c>
      <c r="B16" s="4" t="s">
        <v>87</v>
      </c>
      <c r="C16" s="4" t="s">
        <v>88</v>
      </c>
      <c r="D16" s="4" t="s">
        <v>18</v>
      </c>
      <c r="E16" s="4" t="s">
        <v>19</v>
      </c>
      <c r="F16" s="4" t="s">
        <v>20</v>
      </c>
      <c r="G16" s="4" t="s">
        <v>21</v>
      </c>
      <c r="H16" s="4" t="s">
        <v>89</v>
      </c>
      <c r="I16" s="4" t="s">
        <v>90</v>
      </c>
      <c r="J16" s="4" t="n">
        <f aca="false">IF(I16="","",I16-H16)</f>
        <v>7</v>
      </c>
      <c r="K16" s="4" t="n">
        <v>3</v>
      </c>
      <c r="L16" s="4" t="str">
        <f aca="false">IF(J16="","N/A",IF(J16&lt;=K16,"Yes","No"))</f>
        <v>No</v>
      </c>
      <c r="M16" s="4" t="s">
        <v>24</v>
      </c>
      <c r="N16" s="4"/>
    </row>
    <row r="17" customFormat="false" ht="15" hidden="false" customHeight="true" outlineLevel="0" collapsed="false">
      <c r="A17" s="4" t="s">
        <v>91</v>
      </c>
      <c r="B17" s="4" t="s">
        <v>92</v>
      </c>
      <c r="C17" s="4" t="s">
        <v>93</v>
      </c>
      <c r="D17" s="4" t="s">
        <v>18</v>
      </c>
      <c r="E17" s="4" t="s">
        <v>48</v>
      </c>
      <c r="F17" s="4" t="s">
        <v>49</v>
      </c>
      <c r="G17" s="4" t="s">
        <v>37</v>
      </c>
      <c r="H17" s="4" t="s">
        <v>94</v>
      </c>
      <c r="I17" s="4"/>
      <c r="J17" s="4" t="str">
        <f aca="false">IF(I17="","",I17-H17)</f>
        <v/>
      </c>
      <c r="K17" s="4" t="n">
        <v>5</v>
      </c>
      <c r="L17" s="4" t="str">
        <f aca="false">IF(J17="","N/A",IF(J17&lt;=K17,"Yes","No"))</f>
        <v>N/A</v>
      </c>
      <c r="M17" s="4" t="s">
        <v>36</v>
      </c>
      <c r="N17" s="4"/>
    </row>
    <row r="18" customFormat="false" ht="15" hidden="false" customHeight="true" outlineLevel="0" collapsed="false">
      <c r="A18" s="4" t="s">
        <v>95</v>
      </c>
      <c r="B18" s="4" t="s">
        <v>96</v>
      </c>
      <c r="C18" s="4" t="s">
        <v>97</v>
      </c>
      <c r="D18" s="4" t="s">
        <v>28</v>
      </c>
      <c r="E18" s="4" t="s">
        <v>98</v>
      </c>
      <c r="F18" s="4" t="s">
        <v>20</v>
      </c>
      <c r="G18" s="4" t="s">
        <v>37</v>
      </c>
      <c r="H18" s="4" t="s">
        <v>99</v>
      </c>
      <c r="I18" s="4" t="s">
        <v>100</v>
      </c>
      <c r="J18" s="4" t="n">
        <f aca="false">IF(I18="","",I18-H18)</f>
        <v>1</v>
      </c>
      <c r="K18" s="4" t="n">
        <v>5</v>
      </c>
      <c r="L18" s="4" t="str">
        <f aca="false">IF(J18="","N/A",IF(J18&lt;=K18,"Yes","No"))</f>
        <v>Yes</v>
      </c>
      <c r="M18" s="4" t="s">
        <v>24</v>
      </c>
      <c r="N18" s="4"/>
    </row>
    <row r="19" customFormat="false" ht="15" hidden="false" customHeight="true" outlineLevel="0" collapsed="false">
      <c r="A19" s="4" t="s">
        <v>101</v>
      </c>
      <c r="B19" s="4" t="s">
        <v>102</v>
      </c>
      <c r="C19" s="4" t="s">
        <v>103</v>
      </c>
      <c r="D19" s="4" t="s">
        <v>28</v>
      </c>
      <c r="E19" s="4" t="s">
        <v>85</v>
      </c>
      <c r="F19" s="4" t="s">
        <v>49</v>
      </c>
      <c r="G19" s="4" t="s">
        <v>37</v>
      </c>
      <c r="H19" s="4" t="s">
        <v>104</v>
      </c>
      <c r="I19" s="4"/>
      <c r="J19" s="4" t="str">
        <f aca="false">IF(I19="","",I19-H19)</f>
        <v/>
      </c>
      <c r="K19" s="4" t="n">
        <v>5</v>
      </c>
      <c r="L19" s="4" t="str">
        <f aca="false">IF(J19="","N/A",IF(J19&lt;=K19,"Yes","No"))</f>
        <v>N/A</v>
      </c>
      <c r="M19" s="4" t="s">
        <v>36</v>
      </c>
      <c r="N19" s="4"/>
    </row>
    <row r="20" customFormat="false" ht="15" hidden="false" customHeight="true" outlineLevel="0" collapsed="false">
      <c r="A20" s="4" t="s">
        <v>105</v>
      </c>
      <c r="B20" s="4" t="s">
        <v>106</v>
      </c>
      <c r="C20" s="4" t="s">
        <v>107</v>
      </c>
      <c r="D20" s="4" t="s">
        <v>28</v>
      </c>
      <c r="E20" s="4" t="s">
        <v>85</v>
      </c>
      <c r="F20" s="4" t="s">
        <v>49</v>
      </c>
      <c r="G20" s="4" t="s">
        <v>21</v>
      </c>
      <c r="H20" s="4" t="s">
        <v>89</v>
      </c>
      <c r="I20" s="4"/>
      <c r="J20" s="4" t="str">
        <f aca="false">IF(I20="","",I20-H20)</f>
        <v/>
      </c>
      <c r="K20" s="4" t="n">
        <v>3</v>
      </c>
      <c r="L20" s="4" t="str">
        <f aca="false">IF(J20="","N/A",IF(J20&lt;=K20,"Yes","No"))</f>
        <v>N/A</v>
      </c>
      <c r="M20" s="4" t="s">
        <v>36</v>
      </c>
      <c r="N20" s="4"/>
    </row>
    <row r="21" customFormat="false" ht="15" hidden="false" customHeight="true" outlineLevel="0" collapsed="false">
      <c r="A21" s="4" t="s">
        <v>108</v>
      </c>
      <c r="B21" s="4" t="s">
        <v>109</v>
      </c>
      <c r="C21" s="4" t="s">
        <v>110</v>
      </c>
      <c r="D21" s="4" t="s">
        <v>18</v>
      </c>
      <c r="E21" s="4" t="s">
        <v>42</v>
      </c>
      <c r="F21" s="4" t="s">
        <v>20</v>
      </c>
      <c r="G21" s="4" t="s">
        <v>80</v>
      </c>
      <c r="H21" s="4" t="s">
        <v>111</v>
      </c>
      <c r="I21" s="4" t="s">
        <v>112</v>
      </c>
      <c r="J21" s="4" t="n">
        <f aca="false">IF(I21="","",I21-H21)</f>
        <v>5</v>
      </c>
      <c r="K21" s="4" t="n">
        <v>7</v>
      </c>
      <c r="L21" s="4" t="str">
        <f aca="false">IF(J21="","N/A",IF(J21&lt;=K21,"Yes","No"))</f>
        <v>Yes</v>
      </c>
      <c r="M21" s="4" t="s">
        <v>24</v>
      </c>
      <c r="N21" s="4"/>
    </row>
    <row r="22" customFormat="false" ht="15" hidden="false" customHeight="true" outlineLevel="0" collapsed="false">
      <c r="A22" s="4" t="s">
        <v>113</v>
      </c>
      <c r="B22" s="4" t="s">
        <v>114</v>
      </c>
      <c r="C22" s="4" t="s">
        <v>115</v>
      </c>
      <c r="D22" s="4" t="s">
        <v>28</v>
      </c>
      <c r="E22" s="4" t="s">
        <v>29</v>
      </c>
      <c r="F22" s="4" t="s">
        <v>20</v>
      </c>
      <c r="G22" s="4" t="s">
        <v>21</v>
      </c>
      <c r="H22" s="4" t="s">
        <v>94</v>
      </c>
      <c r="I22" s="4" t="s">
        <v>65</v>
      </c>
      <c r="J22" s="4" t="n">
        <f aca="false">IF(I22="","",I22-H22)</f>
        <v>7</v>
      </c>
      <c r="K22" s="4" t="n">
        <v>3</v>
      </c>
      <c r="L22" s="4" t="str">
        <f aca="false">IF(J22="","N/A",IF(J22&lt;=K22,"Yes","No"))</f>
        <v>No</v>
      </c>
      <c r="M22" s="4" t="s">
        <v>24</v>
      </c>
      <c r="N22" s="4"/>
    </row>
    <row r="23" customFormat="false" ht="15" hidden="false" customHeight="true" outlineLevel="0" collapsed="false">
      <c r="A23" s="4" t="s">
        <v>116</v>
      </c>
      <c r="B23" s="4" t="s">
        <v>117</v>
      </c>
      <c r="C23" s="4" t="s">
        <v>118</v>
      </c>
      <c r="D23" s="4" t="s">
        <v>18</v>
      </c>
      <c r="E23" s="4" t="s">
        <v>35</v>
      </c>
      <c r="F23" s="4" t="s">
        <v>20</v>
      </c>
      <c r="G23" s="4" t="s">
        <v>21</v>
      </c>
      <c r="H23" s="4" t="s">
        <v>50</v>
      </c>
      <c r="I23" s="4" t="s">
        <v>55</v>
      </c>
      <c r="J23" s="4" t="n">
        <f aca="false">IF(I23="","",I23-H23)</f>
        <v>3</v>
      </c>
      <c r="K23" s="4" t="n">
        <v>3</v>
      </c>
      <c r="L23" s="4" t="str">
        <f aca="false">IF(J23="","N/A",IF(J23&lt;=K23,"Yes","No"))</f>
        <v>Yes</v>
      </c>
      <c r="M23" s="4" t="s">
        <v>24</v>
      </c>
      <c r="N23" s="4"/>
    </row>
    <row r="24" customFormat="false" ht="15" hidden="false" customHeight="true" outlineLevel="0" collapsed="false">
      <c r="A24" s="4" t="s">
        <v>119</v>
      </c>
      <c r="B24" s="4" t="s">
        <v>120</v>
      </c>
      <c r="C24" s="4" t="s">
        <v>121</v>
      </c>
      <c r="D24" s="4" t="s">
        <v>18</v>
      </c>
      <c r="E24" s="4" t="s">
        <v>48</v>
      </c>
      <c r="F24" s="4" t="s">
        <v>49</v>
      </c>
      <c r="G24" s="4" t="s">
        <v>21</v>
      </c>
      <c r="H24" s="4" t="s">
        <v>30</v>
      </c>
      <c r="I24" s="4"/>
      <c r="J24" s="4" t="str">
        <f aca="false">IF(I24="","",I24-H24)</f>
        <v/>
      </c>
      <c r="K24" s="4" t="n">
        <v>3</v>
      </c>
      <c r="L24" s="4" t="str">
        <f aca="false">IF(J24="","N/A",IF(J24&lt;=K24,"Yes","No"))</f>
        <v>N/A</v>
      </c>
      <c r="M24" s="4" t="s">
        <v>36</v>
      </c>
      <c r="N24" s="4"/>
    </row>
    <row r="25" customFormat="false" ht="15" hidden="false" customHeight="true" outlineLevel="0" collapsed="false">
      <c r="A25" s="4" t="s">
        <v>122</v>
      </c>
      <c r="B25" s="4" t="s">
        <v>123</v>
      </c>
      <c r="C25" s="4" t="s">
        <v>124</v>
      </c>
      <c r="D25" s="4" t="s">
        <v>28</v>
      </c>
      <c r="E25" s="4" t="s">
        <v>98</v>
      </c>
      <c r="F25" s="4" t="s">
        <v>63</v>
      </c>
      <c r="G25" s="4" t="s">
        <v>80</v>
      </c>
      <c r="H25" s="4" t="s">
        <v>125</v>
      </c>
      <c r="I25" s="4" t="s">
        <v>126</v>
      </c>
      <c r="J25" s="4" t="n">
        <f aca="false">IF(I25="","",I25-H25)</f>
        <v>7</v>
      </c>
      <c r="K25" s="4" t="n">
        <v>7</v>
      </c>
      <c r="L25" s="4" t="str">
        <f aca="false">IF(J25="","N/A",IF(J25&lt;=K25,"Yes","No"))</f>
        <v>Yes</v>
      </c>
      <c r="M25" s="4" t="s">
        <v>66</v>
      </c>
      <c r="N25" s="4" t="s">
        <v>127</v>
      </c>
    </row>
    <row r="26" customFormat="false" ht="15" hidden="false" customHeight="true" outlineLevel="0" collapsed="false">
      <c r="A26" s="4" t="s">
        <v>128</v>
      </c>
      <c r="B26" s="4" t="s">
        <v>129</v>
      </c>
      <c r="C26" s="4" t="s">
        <v>130</v>
      </c>
      <c r="D26" s="4" t="s">
        <v>18</v>
      </c>
      <c r="E26" s="4" t="s">
        <v>48</v>
      </c>
      <c r="F26" s="4" t="s">
        <v>49</v>
      </c>
      <c r="G26" s="4" t="s">
        <v>80</v>
      </c>
      <c r="H26" s="4" t="s">
        <v>104</v>
      </c>
      <c r="I26" s="4"/>
      <c r="J26" s="4" t="str">
        <f aca="false">IF(I26="","",I26-H26)</f>
        <v/>
      </c>
      <c r="K26" s="4" t="n">
        <v>7</v>
      </c>
      <c r="L26" s="4" t="str">
        <f aca="false">IF(J26="","N/A",IF(J26&lt;=K26,"Yes","No"))</f>
        <v>N/A</v>
      </c>
      <c r="M26" s="4" t="s">
        <v>36</v>
      </c>
      <c r="N26" s="4"/>
    </row>
    <row r="27" customFormat="false" ht="15" hidden="false" customHeight="true" outlineLevel="0" collapsed="false">
      <c r="A27" s="4" t="s">
        <v>131</v>
      </c>
      <c r="B27" s="4" t="s">
        <v>132</v>
      </c>
      <c r="C27" s="4" t="s">
        <v>133</v>
      </c>
      <c r="D27" s="4" t="s">
        <v>28</v>
      </c>
      <c r="E27" s="4" t="s">
        <v>134</v>
      </c>
      <c r="F27" s="4" t="s">
        <v>20</v>
      </c>
      <c r="G27" s="4" t="s">
        <v>21</v>
      </c>
      <c r="H27" s="4" t="s">
        <v>135</v>
      </c>
      <c r="I27" s="4" t="s">
        <v>94</v>
      </c>
      <c r="J27" s="4" t="n">
        <f aca="false">IF(I27="","",I27-H27)</f>
        <v>1</v>
      </c>
      <c r="K27" s="4" t="n">
        <v>3</v>
      </c>
      <c r="L27" s="4" t="str">
        <f aca="false">IF(J27="","N/A",IF(J27&lt;=K27,"Yes","No"))</f>
        <v>Yes</v>
      </c>
      <c r="M27" s="4" t="s">
        <v>24</v>
      </c>
      <c r="N27" s="4"/>
    </row>
    <row r="28" customFormat="false" ht="15" hidden="false" customHeight="true" outlineLevel="0" collapsed="false">
      <c r="A28" s="4" t="s">
        <v>136</v>
      </c>
      <c r="B28" s="4" t="s">
        <v>137</v>
      </c>
      <c r="C28" s="4" t="s">
        <v>138</v>
      </c>
      <c r="D28" s="4" t="s">
        <v>18</v>
      </c>
      <c r="E28" s="4" t="s">
        <v>42</v>
      </c>
      <c r="F28" s="4" t="s">
        <v>20</v>
      </c>
      <c r="G28" s="4" t="s">
        <v>80</v>
      </c>
      <c r="H28" s="4" t="s">
        <v>139</v>
      </c>
      <c r="I28" s="4" t="s">
        <v>140</v>
      </c>
      <c r="J28" s="4" t="n">
        <f aca="false">IF(I28="","",I28-H28)</f>
        <v>6</v>
      </c>
      <c r="K28" s="4" t="n">
        <v>7</v>
      </c>
      <c r="L28" s="4" t="str">
        <f aca="false">IF(J28="","N/A",IF(J28&lt;=K28,"Yes","No"))</f>
        <v>Yes</v>
      </c>
      <c r="M28" s="4" t="s">
        <v>24</v>
      </c>
      <c r="N28" s="4"/>
    </row>
    <row r="29" customFormat="false" ht="15" hidden="false" customHeight="true" outlineLevel="0" collapsed="false">
      <c r="A29" s="4" t="s">
        <v>141</v>
      </c>
      <c r="B29" s="4" t="s">
        <v>142</v>
      </c>
      <c r="C29" s="4" t="s">
        <v>143</v>
      </c>
      <c r="D29" s="4" t="s">
        <v>18</v>
      </c>
      <c r="E29" s="4" t="s">
        <v>48</v>
      </c>
      <c r="F29" s="4" t="s">
        <v>49</v>
      </c>
      <c r="G29" s="4" t="s">
        <v>21</v>
      </c>
      <c r="H29" s="4" t="s">
        <v>144</v>
      </c>
      <c r="I29" s="4"/>
      <c r="J29" s="4" t="str">
        <f aca="false">IF(I29="","",I29-H29)</f>
        <v/>
      </c>
      <c r="K29" s="4" t="n">
        <v>3</v>
      </c>
      <c r="L29" s="4" t="str">
        <f aca="false">IF(J29="","N/A",IF(J29&lt;=K29,"Yes","No"))</f>
        <v>N/A</v>
      </c>
      <c r="M29" s="4" t="s">
        <v>36</v>
      </c>
      <c r="N29" s="4"/>
    </row>
    <row r="30" customFormat="false" ht="15" hidden="false" customHeight="true" outlineLevel="0" collapsed="false">
      <c r="A30" s="4" t="s">
        <v>145</v>
      </c>
      <c r="B30" s="4" t="s">
        <v>146</v>
      </c>
      <c r="C30" s="4" t="s">
        <v>147</v>
      </c>
      <c r="D30" s="4" t="s">
        <v>18</v>
      </c>
      <c r="E30" s="4" t="s">
        <v>42</v>
      </c>
      <c r="F30" s="4" t="s">
        <v>20</v>
      </c>
      <c r="G30" s="4" t="s">
        <v>37</v>
      </c>
      <c r="H30" s="4" t="s">
        <v>148</v>
      </c>
      <c r="I30" s="4" t="s">
        <v>100</v>
      </c>
      <c r="J30" s="4" t="n">
        <f aca="false">IF(I30="","",I30-H30)</f>
        <v>7</v>
      </c>
      <c r="K30" s="4" t="n">
        <v>5</v>
      </c>
      <c r="L30" s="4" t="str">
        <f aca="false">IF(J30="","N/A",IF(J30&lt;=K30,"Yes","No"))</f>
        <v>No</v>
      </c>
      <c r="M30" s="4" t="s">
        <v>24</v>
      </c>
      <c r="N30" s="4"/>
    </row>
    <row r="31" customFormat="false" ht="15" hidden="false" customHeight="true" outlineLevel="0" collapsed="false">
      <c r="A31" s="4" t="s">
        <v>149</v>
      </c>
      <c r="B31" s="4" t="s">
        <v>150</v>
      </c>
      <c r="C31" s="4" t="s">
        <v>151</v>
      </c>
      <c r="D31" s="4" t="s">
        <v>28</v>
      </c>
      <c r="E31" s="4" t="s">
        <v>29</v>
      </c>
      <c r="F31" s="4" t="s">
        <v>20</v>
      </c>
      <c r="G31" s="4" t="s">
        <v>80</v>
      </c>
      <c r="H31" s="4" t="s">
        <v>152</v>
      </c>
      <c r="I31" s="4" t="s">
        <v>55</v>
      </c>
      <c r="J31" s="4" t="n">
        <f aca="false">IF(I31="","",I31-H31)</f>
        <v>5</v>
      </c>
      <c r="K31" s="4" t="n">
        <v>7</v>
      </c>
      <c r="L31" s="4" t="str">
        <f aca="false">IF(J31="","N/A",IF(J31&lt;=K31,"Yes","No"))</f>
        <v>Yes</v>
      </c>
      <c r="M31" s="4" t="s">
        <v>24</v>
      </c>
      <c r="N31" s="4"/>
    </row>
    <row r="32" customFormat="false" ht="15" hidden="false" customHeight="true" outlineLevel="0" collapsed="false">
      <c r="A32" s="4" t="s">
        <v>153</v>
      </c>
      <c r="B32" s="4" t="s">
        <v>154</v>
      </c>
      <c r="C32" s="4" t="s">
        <v>155</v>
      </c>
      <c r="D32" s="4" t="s">
        <v>28</v>
      </c>
      <c r="E32" s="4" t="s">
        <v>134</v>
      </c>
      <c r="F32" s="4" t="s">
        <v>20</v>
      </c>
      <c r="G32" s="4" t="s">
        <v>21</v>
      </c>
      <c r="H32" s="4" t="s">
        <v>156</v>
      </c>
      <c r="I32" s="4" t="s">
        <v>157</v>
      </c>
      <c r="J32" s="4" t="n">
        <f aca="false">IF(I32="","",I32-H32)</f>
        <v>6</v>
      </c>
      <c r="K32" s="4" t="n">
        <v>3</v>
      </c>
      <c r="L32" s="4" t="str">
        <f aca="false">IF(J32="","N/A",IF(J32&lt;=K32,"Yes","No"))</f>
        <v>No</v>
      </c>
      <c r="M32" s="4" t="s">
        <v>24</v>
      </c>
      <c r="N32" s="4"/>
    </row>
    <row r="33" customFormat="false" ht="15" hidden="false" customHeight="true" outlineLevel="0" collapsed="false">
      <c r="A33" s="4" t="s">
        <v>158</v>
      </c>
      <c r="B33" s="4" t="s">
        <v>159</v>
      </c>
      <c r="C33" s="4" t="s">
        <v>160</v>
      </c>
      <c r="D33" s="4" t="s">
        <v>28</v>
      </c>
      <c r="E33" s="4" t="s">
        <v>29</v>
      </c>
      <c r="F33" s="4" t="s">
        <v>63</v>
      </c>
      <c r="G33" s="4" t="s">
        <v>21</v>
      </c>
      <c r="H33" s="4" t="s">
        <v>50</v>
      </c>
      <c r="I33" s="4" t="s">
        <v>55</v>
      </c>
      <c r="J33" s="4" t="n">
        <f aca="false">IF(I33="","",I33-H33)</f>
        <v>3</v>
      </c>
      <c r="K33" s="4" t="n">
        <v>3</v>
      </c>
      <c r="L33" s="4" t="str">
        <f aca="false">IF(J33="","N/A",IF(J33&lt;=K33,"Yes","No"))</f>
        <v>Yes</v>
      </c>
      <c r="M33" s="4" t="s">
        <v>66</v>
      </c>
      <c r="N33" s="4" t="s">
        <v>161</v>
      </c>
    </row>
    <row r="34" customFormat="false" ht="15" hidden="false" customHeight="true" outlineLevel="0" collapsed="false">
      <c r="A34" s="4" t="s">
        <v>162</v>
      </c>
      <c r="B34" s="4" t="s">
        <v>163</v>
      </c>
      <c r="C34" s="4" t="s">
        <v>164</v>
      </c>
      <c r="D34" s="4" t="s">
        <v>18</v>
      </c>
      <c r="E34" s="4" t="s">
        <v>35</v>
      </c>
      <c r="F34" s="4" t="s">
        <v>20</v>
      </c>
      <c r="G34" s="4" t="s">
        <v>21</v>
      </c>
      <c r="H34" s="4" t="s">
        <v>165</v>
      </c>
      <c r="I34" s="4" t="s">
        <v>166</v>
      </c>
      <c r="J34" s="4" t="n">
        <f aca="false">IF(I34="","",I34-H34)</f>
        <v>2</v>
      </c>
      <c r="K34" s="4" t="n">
        <v>3</v>
      </c>
      <c r="L34" s="4" t="str">
        <f aca="false">IF(J34="","N/A",IF(J34&lt;=K34,"Yes","No"))</f>
        <v>Yes</v>
      </c>
      <c r="M34" s="4" t="s">
        <v>24</v>
      </c>
      <c r="N34" s="4"/>
    </row>
    <row r="35" customFormat="false" ht="15" hidden="false" customHeight="true" outlineLevel="0" collapsed="false">
      <c r="A35" s="4" t="s">
        <v>167</v>
      </c>
      <c r="B35" s="4" t="s">
        <v>168</v>
      </c>
      <c r="C35" s="4" t="s">
        <v>169</v>
      </c>
      <c r="D35" s="4" t="s">
        <v>18</v>
      </c>
      <c r="E35" s="4" t="s">
        <v>48</v>
      </c>
      <c r="F35" s="4" t="s">
        <v>49</v>
      </c>
      <c r="G35" s="4" t="s">
        <v>37</v>
      </c>
      <c r="H35" s="4" t="s">
        <v>81</v>
      </c>
      <c r="I35" s="4"/>
      <c r="J35" s="4" t="str">
        <f aca="false">IF(I35="","",I35-H35)</f>
        <v/>
      </c>
      <c r="K35" s="4" t="n">
        <v>5</v>
      </c>
      <c r="L35" s="4" t="str">
        <f aca="false">IF(J35="","N/A",IF(J35&lt;=K35,"Yes","No"))</f>
        <v>N/A</v>
      </c>
      <c r="M35" s="4" t="s">
        <v>36</v>
      </c>
      <c r="N35" s="4"/>
    </row>
    <row r="36" customFormat="false" ht="15" hidden="false" customHeight="true" outlineLevel="0" collapsed="false">
      <c r="A36" s="4" t="s">
        <v>170</v>
      </c>
      <c r="B36" s="4" t="s">
        <v>171</v>
      </c>
      <c r="C36" s="4" t="s">
        <v>172</v>
      </c>
      <c r="D36" s="4" t="s">
        <v>28</v>
      </c>
      <c r="E36" s="4" t="s">
        <v>29</v>
      </c>
      <c r="F36" s="4" t="s">
        <v>20</v>
      </c>
      <c r="G36" s="4" t="s">
        <v>80</v>
      </c>
      <c r="H36" s="4" t="s">
        <v>22</v>
      </c>
      <c r="I36" s="4" t="s">
        <v>173</v>
      </c>
      <c r="J36" s="4" t="n">
        <f aca="false">IF(I36="","",I36-H36)</f>
        <v>8</v>
      </c>
      <c r="K36" s="4" t="n">
        <v>7</v>
      </c>
      <c r="L36" s="4" t="str">
        <f aca="false">IF(J36="","N/A",IF(J36&lt;=K36,"Yes","No"))</f>
        <v>No</v>
      </c>
      <c r="M36" s="4" t="s">
        <v>24</v>
      </c>
      <c r="N36" s="4"/>
    </row>
    <row r="37" customFormat="false" ht="15" hidden="false" customHeight="true" outlineLevel="0" collapsed="false">
      <c r="A37" s="4" t="s">
        <v>174</v>
      </c>
      <c r="B37" s="4" t="s">
        <v>175</v>
      </c>
      <c r="C37" s="4" t="s">
        <v>176</v>
      </c>
      <c r="D37" s="4" t="s">
        <v>18</v>
      </c>
      <c r="E37" s="4" t="s">
        <v>19</v>
      </c>
      <c r="F37" s="4" t="s">
        <v>20</v>
      </c>
      <c r="G37" s="4" t="s">
        <v>21</v>
      </c>
      <c r="H37" s="4" t="s">
        <v>139</v>
      </c>
      <c r="I37" s="4" t="s">
        <v>104</v>
      </c>
      <c r="J37" s="4" t="n">
        <f aca="false">IF(I37="","",I37-H37)</f>
        <v>3</v>
      </c>
      <c r="K37" s="4" t="n">
        <v>3</v>
      </c>
      <c r="L37" s="4" t="str">
        <f aca="false">IF(J37="","N/A",IF(J37&lt;=K37,"Yes","No"))</f>
        <v>Yes</v>
      </c>
      <c r="M37" s="4" t="s">
        <v>24</v>
      </c>
      <c r="N37" s="4"/>
    </row>
    <row r="38" customFormat="false" ht="15" hidden="false" customHeight="true" outlineLevel="0" collapsed="false">
      <c r="A38" s="4" t="s">
        <v>177</v>
      </c>
      <c r="B38" s="4" t="s">
        <v>178</v>
      </c>
      <c r="C38" s="4" t="s">
        <v>179</v>
      </c>
      <c r="D38" s="4" t="s">
        <v>28</v>
      </c>
      <c r="E38" s="4" t="s">
        <v>134</v>
      </c>
      <c r="F38" s="4" t="s">
        <v>20</v>
      </c>
      <c r="G38" s="4" t="s">
        <v>80</v>
      </c>
      <c r="H38" s="4" t="s">
        <v>135</v>
      </c>
      <c r="I38" s="4" t="s">
        <v>180</v>
      </c>
      <c r="J38" s="4" t="n">
        <f aca="false">IF(I38="","",I38-H38)</f>
        <v>5</v>
      </c>
      <c r="K38" s="4" t="n">
        <v>7</v>
      </c>
      <c r="L38" s="4" t="str">
        <f aca="false">IF(J38="","N/A",IF(J38&lt;=K38,"Yes","No"))</f>
        <v>Yes</v>
      </c>
      <c r="M38" s="4" t="s">
        <v>24</v>
      </c>
      <c r="N38" s="4"/>
    </row>
    <row r="39" customFormat="false" ht="15" hidden="false" customHeight="true" outlineLevel="0" collapsed="false">
      <c r="A39" s="4" t="s">
        <v>181</v>
      </c>
      <c r="B39" s="4" t="s">
        <v>182</v>
      </c>
      <c r="C39" s="4" t="s">
        <v>183</v>
      </c>
      <c r="D39" s="4" t="s">
        <v>18</v>
      </c>
      <c r="E39" s="4" t="s">
        <v>42</v>
      </c>
      <c r="F39" s="4" t="s">
        <v>20</v>
      </c>
      <c r="G39" s="4" t="s">
        <v>37</v>
      </c>
      <c r="H39" s="4" t="s">
        <v>184</v>
      </c>
      <c r="I39" s="4" t="s">
        <v>185</v>
      </c>
      <c r="J39" s="4" t="n">
        <f aca="false">IF(I39="","",I39-H39)</f>
        <v>3</v>
      </c>
      <c r="K39" s="4" t="n">
        <v>5</v>
      </c>
      <c r="L39" s="4" t="str">
        <f aca="false">IF(J39="","N/A",IF(J39&lt;=K39,"Yes","No"))</f>
        <v>Yes</v>
      </c>
      <c r="M39" s="4" t="s">
        <v>24</v>
      </c>
      <c r="N39" s="4"/>
    </row>
    <row r="40" customFormat="false" ht="15" hidden="false" customHeight="true" outlineLevel="0" collapsed="false">
      <c r="A40" s="4" t="s">
        <v>186</v>
      </c>
      <c r="B40" s="4" t="s">
        <v>187</v>
      </c>
      <c r="C40" s="4" t="s">
        <v>188</v>
      </c>
      <c r="D40" s="4" t="s">
        <v>18</v>
      </c>
      <c r="E40" s="4" t="s">
        <v>35</v>
      </c>
      <c r="F40" s="4" t="s">
        <v>20</v>
      </c>
      <c r="G40" s="4" t="s">
        <v>80</v>
      </c>
      <c r="H40" s="4" t="s">
        <v>189</v>
      </c>
      <c r="I40" s="4" t="s">
        <v>190</v>
      </c>
      <c r="J40" s="4" t="n">
        <f aca="false">IF(I40="","",I40-H40)</f>
        <v>12</v>
      </c>
      <c r="K40" s="4" t="n">
        <v>7</v>
      </c>
      <c r="L40" s="4" t="str">
        <f aca="false">IF(J40="","N/A",IF(J40&lt;=K40,"Yes","No"))</f>
        <v>No</v>
      </c>
      <c r="M40" s="4" t="s">
        <v>24</v>
      </c>
      <c r="N40" s="4"/>
    </row>
    <row r="41" customFormat="false" ht="15" hidden="false" customHeight="true" outlineLevel="0" collapsed="false">
      <c r="A41" s="4" t="s">
        <v>191</v>
      </c>
      <c r="B41" s="4" t="s">
        <v>192</v>
      </c>
      <c r="C41" s="4" t="s">
        <v>193</v>
      </c>
      <c r="D41" s="4" t="s">
        <v>28</v>
      </c>
      <c r="E41" s="4" t="s">
        <v>85</v>
      </c>
      <c r="F41" s="4" t="s">
        <v>49</v>
      </c>
      <c r="G41" s="4" t="s">
        <v>21</v>
      </c>
      <c r="H41" s="4" t="s">
        <v>139</v>
      </c>
      <c r="I41" s="4"/>
      <c r="J41" s="4" t="str">
        <f aca="false">IF(I41="","",I41-H41)</f>
        <v/>
      </c>
      <c r="K41" s="4" t="n">
        <v>3</v>
      </c>
      <c r="L41" s="4" t="str">
        <f aca="false">IF(J41="","N/A",IF(J41&lt;=K41,"Yes","No"))</f>
        <v>N/A</v>
      </c>
      <c r="M41" s="4" t="s">
        <v>36</v>
      </c>
      <c r="N41" s="4"/>
    </row>
    <row r="42" customFormat="false" ht="15" hidden="false" customHeight="true" outlineLevel="0" collapsed="false">
      <c r="A42" s="4" t="s">
        <v>194</v>
      </c>
      <c r="B42" s="4" t="s">
        <v>195</v>
      </c>
      <c r="C42" s="4" t="s">
        <v>196</v>
      </c>
      <c r="D42" s="4" t="s">
        <v>18</v>
      </c>
      <c r="E42" s="4" t="s">
        <v>42</v>
      </c>
      <c r="F42" s="4" t="s">
        <v>63</v>
      </c>
      <c r="G42" s="4" t="s">
        <v>21</v>
      </c>
      <c r="H42" s="4" t="s">
        <v>90</v>
      </c>
      <c r="I42" s="4" t="s">
        <v>71</v>
      </c>
      <c r="J42" s="4" t="n">
        <f aca="false">IF(I42="","",I42-H42)</f>
        <v>2</v>
      </c>
      <c r="K42" s="4" t="n">
        <v>3</v>
      </c>
      <c r="L42" s="4" t="str">
        <f aca="false">IF(J42="","N/A",IF(J42&lt;=K42,"Yes","No"))</f>
        <v>Yes</v>
      </c>
      <c r="M42" s="4" t="s">
        <v>66</v>
      </c>
      <c r="N42" s="4" t="s">
        <v>127</v>
      </c>
    </row>
    <row r="43" customFormat="false" ht="15" hidden="false" customHeight="true" outlineLevel="0" collapsed="false">
      <c r="A43" s="4" t="s">
        <v>197</v>
      </c>
      <c r="B43" s="4" t="s">
        <v>198</v>
      </c>
      <c r="C43" s="4" t="s">
        <v>199</v>
      </c>
      <c r="D43" s="4" t="s">
        <v>18</v>
      </c>
      <c r="E43" s="4" t="s">
        <v>35</v>
      </c>
      <c r="F43" s="4" t="s">
        <v>20</v>
      </c>
      <c r="G43" s="4" t="s">
        <v>80</v>
      </c>
      <c r="H43" s="4" t="s">
        <v>55</v>
      </c>
      <c r="I43" s="4" t="s">
        <v>156</v>
      </c>
      <c r="J43" s="4" t="n">
        <f aca="false">IF(I43="","",I43-H43)</f>
        <v>9</v>
      </c>
      <c r="K43" s="4" t="n">
        <v>7</v>
      </c>
      <c r="L43" s="4" t="str">
        <f aca="false">IF(J43="","N/A",IF(J43&lt;=K43,"Yes","No"))</f>
        <v>No</v>
      </c>
      <c r="M43" s="4" t="s">
        <v>24</v>
      </c>
      <c r="N43" s="4"/>
    </row>
    <row r="44" customFormat="false" ht="15" hidden="false" customHeight="true" outlineLevel="0" collapsed="false">
      <c r="A44" s="4" t="s">
        <v>200</v>
      </c>
      <c r="B44" s="4" t="s">
        <v>201</v>
      </c>
      <c r="C44" s="4" t="s">
        <v>202</v>
      </c>
      <c r="D44" s="4" t="s">
        <v>28</v>
      </c>
      <c r="E44" s="4" t="s">
        <v>134</v>
      </c>
      <c r="F44" s="4" t="s">
        <v>20</v>
      </c>
      <c r="G44" s="4" t="s">
        <v>37</v>
      </c>
      <c r="H44" s="4" t="s">
        <v>203</v>
      </c>
      <c r="I44" s="4" t="s">
        <v>204</v>
      </c>
      <c r="J44" s="4" t="n">
        <f aca="false">IF(I44="","",I44-H44)</f>
        <v>3</v>
      </c>
      <c r="K44" s="4" t="n">
        <v>5</v>
      </c>
      <c r="L44" s="4" t="str">
        <f aca="false">IF(J44="","N/A",IF(J44&lt;=K44,"Yes","No"))</f>
        <v>Yes</v>
      </c>
      <c r="M44" s="4" t="s">
        <v>24</v>
      </c>
      <c r="N44" s="4"/>
    </row>
    <row r="45" customFormat="false" ht="15" hidden="false" customHeight="true" outlineLevel="0" collapsed="false">
      <c r="A45" s="4" t="s">
        <v>205</v>
      </c>
      <c r="B45" s="4" t="s">
        <v>206</v>
      </c>
      <c r="C45" s="4" t="s">
        <v>207</v>
      </c>
      <c r="D45" s="4" t="s">
        <v>18</v>
      </c>
      <c r="E45" s="4" t="s">
        <v>42</v>
      </c>
      <c r="F45" s="4" t="s">
        <v>20</v>
      </c>
      <c r="G45" s="4" t="s">
        <v>37</v>
      </c>
      <c r="H45" s="4" t="s">
        <v>54</v>
      </c>
      <c r="I45" s="4" t="s">
        <v>104</v>
      </c>
      <c r="J45" s="4" t="n">
        <f aca="false">IF(I45="","",I45-H45)</f>
        <v>5</v>
      </c>
      <c r="K45" s="4" t="n">
        <v>5</v>
      </c>
      <c r="L45" s="4" t="str">
        <f aca="false">IF(J45="","N/A",IF(J45&lt;=K45,"Yes","No"))</f>
        <v>Yes</v>
      </c>
      <c r="M45" s="4" t="s">
        <v>24</v>
      </c>
      <c r="N45" s="4"/>
    </row>
    <row r="46" customFormat="false" ht="15" hidden="false" customHeight="true" outlineLevel="0" collapsed="false">
      <c r="A46" s="4" t="s">
        <v>208</v>
      </c>
      <c r="B46" s="4" t="s">
        <v>209</v>
      </c>
      <c r="C46" s="4" t="s">
        <v>210</v>
      </c>
      <c r="D46" s="4" t="s">
        <v>18</v>
      </c>
      <c r="E46" s="4" t="s">
        <v>35</v>
      </c>
      <c r="F46" s="4" t="s">
        <v>63</v>
      </c>
      <c r="G46" s="4" t="s">
        <v>37</v>
      </c>
      <c r="H46" s="4" t="s">
        <v>139</v>
      </c>
      <c r="I46" s="4" t="s">
        <v>43</v>
      </c>
      <c r="J46" s="4" t="n">
        <f aca="false">IF(I46="","",I46-H46)</f>
        <v>2</v>
      </c>
      <c r="K46" s="4" t="n">
        <v>5</v>
      </c>
      <c r="L46" s="4" t="str">
        <f aca="false">IF(J46="","N/A",IF(J46&lt;=K46,"Yes","No"))</f>
        <v>Yes</v>
      </c>
      <c r="M46" s="4" t="s">
        <v>66</v>
      </c>
      <c r="N46" s="4" t="s">
        <v>127</v>
      </c>
    </row>
    <row r="47" customFormat="false" ht="15" hidden="false" customHeight="true" outlineLevel="0" collapsed="false">
      <c r="A47" s="4" t="s">
        <v>211</v>
      </c>
      <c r="B47" s="4" t="s">
        <v>212</v>
      </c>
      <c r="C47" s="4" t="s">
        <v>213</v>
      </c>
      <c r="D47" s="4" t="s">
        <v>18</v>
      </c>
      <c r="E47" s="4" t="s">
        <v>19</v>
      </c>
      <c r="F47" s="4" t="s">
        <v>20</v>
      </c>
      <c r="G47" s="4" t="s">
        <v>37</v>
      </c>
      <c r="H47" s="4" t="s">
        <v>148</v>
      </c>
      <c r="I47" s="4" t="s">
        <v>214</v>
      </c>
      <c r="J47" s="4" t="n">
        <f aca="false">IF(I47="","",I47-H47)</f>
        <v>3</v>
      </c>
      <c r="K47" s="4" t="n">
        <v>5</v>
      </c>
      <c r="L47" s="4" t="str">
        <f aca="false">IF(J47="","N/A",IF(J47&lt;=K47,"Yes","No"))</f>
        <v>Yes</v>
      </c>
      <c r="M47" s="4" t="s">
        <v>24</v>
      </c>
      <c r="N47" s="4"/>
    </row>
    <row r="48" customFormat="false" ht="15" hidden="false" customHeight="true" outlineLevel="0" collapsed="false">
      <c r="A48" s="4" t="s">
        <v>215</v>
      </c>
      <c r="B48" s="4" t="s">
        <v>216</v>
      </c>
      <c r="C48" s="4" t="s">
        <v>217</v>
      </c>
      <c r="D48" s="4" t="s">
        <v>18</v>
      </c>
      <c r="E48" s="4" t="s">
        <v>35</v>
      </c>
      <c r="F48" s="4" t="s">
        <v>20</v>
      </c>
      <c r="G48" s="4" t="s">
        <v>37</v>
      </c>
      <c r="H48" s="4" t="s">
        <v>218</v>
      </c>
      <c r="I48" s="4" t="s">
        <v>214</v>
      </c>
      <c r="J48" s="4" t="n">
        <f aca="false">IF(I48="","",I48-H48)</f>
        <v>8</v>
      </c>
      <c r="K48" s="4" t="n">
        <v>5</v>
      </c>
      <c r="L48" s="4" t="str">
        <f aca="false">IF(J48="","N/A",IF(J48&lt;=K48,"Yes","No"))</f>
        <v>No</v>
      </c>
      <c r="M48" s="4" t="s">
        <v>24</v>
      </c>
      <c r="N48" s="4"/>
    </row>
    <row r="49" customFormat="false" ht="15" hidden="false" customHeight="true" outlineLevel="0" collapsed="false">
      <c r="A49" s="4" t="s">
        <v>219</v>
      </c>
      <c r="B49" s="4" t="s">
        <v>220</v>
      </c>
      <c r="C49" s="4" t="s">
        <v>221</v>
      </c>
      <c r="D49" s="4" t="s">
        <v>18</v>
      </c>
      <c r="E49" s="4" t="s">
        <v>19</v>
      </c>
      <c r="F49" s="4" t="s">
        <v>20</v>
      </c>
      <c r="G49" s="4" t="s">
        <v>80</v>
      </c>
      <c r="H49" s="4" t="s">
        <v>173</v>
      </c>
      <c r="I49" s="4" t="s">
        <v>222</v>
      </c>
      <c r="J49" s="4" t="n">
        <f aca="false">IF(I49="","",I49-H49)</f>
        <v>7</v>
      </c>
      <c r="K49" s="4" t="n">
        <v>7</v>
      </c>
      <c r="L49" s="4" t="str">
        <f aca="false">IF(J49="","N/A",IF(J49&lt;=K49,"Yes","No"))</f>
        <v>Yes</v>
      </c>
      <c r="M49" s="4" t="s">
        <v>24</v>
      </c>
      <c r="N49" s="4"/>
    </row>
    <row r="50" customFormat="false" ht="15" hidden="false" customHeight="true" outlineLevel="0" collapsed="false">
      <c r="A50" s="4" t="s">
        <v>223</v>
      </c>
      <c r="B50" s="4" t="s">
        <v>224</v>
      </c>
      <c r="C50" s="4" t="s">
        <v>225</v>
      </c>
      <c r="D50" s="4" t="s">
        <v>28</v>
      </c>
      <c r="E50" s="4" t="s">
        <v>134</v>
      </c>
      <c r="F50" s="4" t="s">
        <v>20</v>
      </c>
      <c r="G50" s="4" t="s">
        <v>37</v>
      </c>
      <c r="H50" s="4" t="s">
        <v>156</v>
      </c>
      <c r="I50" s="4" t="s">
        <v>126</v>
      </c>
      <c r="J50" s="4" t="n">
        <f aca="false">IF(I50="","",I50-H50)</f>
        <v>3</v>
      </c>
      <c r="K50" s="4" t="n">
        <v>5</v>
      </c>
      <c r="L50" s="4" t="str">
        <f aca="false">IF(J50="","N/A",IF(J50&lt;=K50,"Yes","No"))</f>
        <v>Yes</v>
      </c>
      <c r="M50" s="4" t="s">
        <v>24</v>
      </c>
      <c r="N50" s="4"/>
    </row>
    <row r="51" customFormat="false" ht="15" hidden="false" customHeight="true" outlineLevel="0" collapsed="false">
      <c r="A51" s="4" t="s">
        <v>226</v>
      </c>
      <c r="B51" s="4" t="s">
        <v>227</v>
      </c>
      <c r="C51" s="4" t="s">
        <v>228</v>
      </c>
      <c r="D51" s="4" t="s">
        <v>18</v>
      </c>
      <c r="E51" s="4" t="s">
        <v>48</v>
      </c>
      <c r="F51" s="4" t="s">
        <v>49</v>
      </c>
      <c r="G51" s="4" t="s">
        <v>21</v>
      </c>
      <c r="H51" s="4" t="s">
        <v>218</v>
      </c>
      <c r="I51" s="4"/>
      <c r="J51" s="4" t="str">
        <f aca="false">IF(I51="","",I51-H51)</f>
        <v/>
      </c>
      <c r="K51" s="4" t="n">
        <v>3</v>
      </c>
      <c r="L51" s="4" t="str">
        <f aca="false">IF(J51="","N/A",IF(J51&lt;=K51,"Yes","No"))</f>
        <v>N/A</v>
      </c>
      <c r="M51" s="4" t="s">
        <v>36</v>
      </c>
      <c r="N51" s="4"/>
    </row>
    <row r="52" customFormat="false" ht="15" hidden="false" customHeight="true" outlineLevel="0" collapsed="false">
      <c r="A52" s="4" t="s">
        <v>229</v>
      </c>
      <c r="B52" s="4" t="s">
        <v>230</v>
      </c>
      <c r="C52" s="4" t="s">
        <v>231</v>
      </c>
      <c r="D52" s="4" t="s">
        <v>18</v>
      </c>
      <c r="E52" s="4" t="s">
        <v>19</v>
      </c>
      <c r="F52" s="4" t="s">
        <v>20</v>
      </c>
      <c r="G52" s="4" t="s">
        <v>21</v>
      </c>
      <c r="H52" s="4" t="s">
        <v>75</v>
      </c>
      <c r="I52" s="4" t="s">
        <v>76</v>
      </c>
      <c r="J52" s="4" t="n">
        <f aca="false">IF(I52="","",I52-H52)</f>
        <v>6</v>
      </c>
      <c r="K52" s="4" t="n">
        <v>3</v>
      </c>
      <c r="L52" s="4" t="str">
        <f aca="false">IF(J52="","N/A",IF(J52&lt;=K52,"Yes","No"))</f>
        <v>No</v>
      </c>
      <c r="M52" s="4" t="s">
        <v>24</v>
      </c>
      <c r="N52" s="4"/>
    </row>
    <row r="53" customFormat="false" ht="15" hidden="false" customHeight="true" outlineLevel="0" collapsed="false">
      <c r="A53" s="4" t="s">
        <v>232</v>
      </c>
      <c r="B53" s="4" t="s">
        <v>233</v>
      </c>
      <c r="C53" s="4" t="s">
        <v>234</v>
      </c>
      <c r="D53" s="4" t="s">
        <v>18</v>
      </c>
      <c r="E53" s="4" t="s">
        <v>35</v>
      </c>
      <c r="F53" s="4" t="s">
        <v>36</v>
      </c>
      <c r="G53" s="4" t="s">
        <v>21</v>
      </c>
      <c r="H53" s="4" t="s">
        <v>104</v>
      </c>
      <c r="I53" s="4"/>
      <c r="J53" s="4" t="str">
        <f aca="false">IF(I53="","",I53-H53)</f>
        <v/>
      </c>
      <c r="K53" s="4" t="n">
        <v>3</v>
      </c>
      <c r="L53" s="4" t="str">
        <f aca="false">IF(J53="","N/A",IF(J53&lt;=K53,"Yes","No"))</f>
        <v>N/A</v>
      </c>
      <c r="M53" s="4" t="s">
        <v>36</v>
      </c>
      <c r="N53" s="4"/>
    </row>
  </sheetData>
  <conditionalFormatting sqref="M4:M53">
    <cfRule type="cellIs" priority="2" operator="equal" aboveAverage="0" equalAverage="0" bottom="0" percent="0" rank="0" text="" dxfId="6">
      <formula>"Approved"</formula>
    </cfRule>
    <cfRule type="cellIs" priority="3" operator="equal" aboveAverage="0" equalAverage="0" bottom="0" percent="0" rank="0" text="" dxfId="7">
      <formula>"Rejected"</formula>
    </cfRule>
    <cfRule type="cellIs" priority="4" operator="equal" aboveAverage="0" equalAverage="0" bottom="0" percent="0" rank="0" text="" dxfId="8">
      <formula>"Pending"</formula>
    </cfRule>
  </conditionalFormatting>
  <dataValidations count="1">
    <dataValidation allowBlank="false" errorStyle="stop" operator="between" showDropDown="false" showErrorMessage="false" showInputMessage="false" sqref="G4:G53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6" min="5" style="1" width="22"/>
    <col collapsed="false" customWidth="true" hidden="false" outlineLevel="0" max="7" min="7" style="1" width="15"/>
    <col collapsed="false" customWidth="true" hidden="false" outlineLevel="0" max="8" min="8" style="1" width="14"/>
    <col collapsed="false" customWidth="true" hidden="false" outlineLevel="0" max="9" min="9" style="1" width="17"/>
    <col collapsed="false" customWidth="true" hidden="false" outlineLevel="0" max="10" min="10" style="1" width="14"/>
  </cols>
  <sheetData>
    <row r="1" customFormat="false" ht="15.75" hidden="false" customHeight="true" outlineLevel="0" collapsed="false">
      <c r="A1" s="2" t="s">
        <v>235</v>
      </c>
    </row>
    <row r="3" customFormat="false" ht="23.25" hidden="false" customHeight="true" outlineLevel="0" collapsed="false">
      <c r="A3" s="3" t="s">
        <v>236</v>
      </c>
      <c r="B3" s="3" t="s">
        <v>2</v>
      </c>
      <c r="C3" s="3" t="s">
        <v>237</v>
      </c>
      <c r="D3" s="3" t="s">
        <v>238</v>
      </c>
      <c r="E3" s="3" t="s">
        <v>239</v>
      </c>
      <c r="F3" s="3" t="s">
        <v>240</v>
      </c>
      <c r="G3" s="3" t="s">
        <v>241</v>
      </c>
      <c r="H3" s="3" t="s">
        <v>242</v>
      </c>
      <c r="I3" s="3" t="s">
        <v>243</v>
      </c>
      <c r="J3" s="3" t="s">
        <v>244</v>
      </c>
    </row>
    <row r="4" customFormat="false" ht="15" hidden="false" customHeight="true" outlineLevel="0" collapsed="false">
      <c r="A4" s="4" t="s">
        <v>245</v>
      </c>
      <c r="B4" s="4" t="s">
        <v>109</v>
      </c>
      <c r="C4" s="4" t="s">
        <v>246</v>
      </c>
      <c r="D4" s="5" t="n">
        <v>34895</v>
      </c>
      <c r="E4" s="4" t="s">
        <v>247</v>
      </c>
      <c r="F4" s="4" t="s">
        <v>248</v>
      </c>
      <c r="G4" s="4" t="s">
        <v>24</v>
      </c>
      <c r="H4" s="4" t="s">
        <v>249</v>
      </c>
      <c r="I4" s="4" t="n">
        <v>1.2</v>
      </c>
      <c r="J4" s="4" t="s">
        <v>250</v>
      </c>
    </row>
    <row r="5" customFormat="false" ht="15" hidden="false" customHeight="true" outlineLevel="0" collapsed="false">
      <c r="A5" s="4" t="s">
        <v>251</v>
      </c>
      <c r="B5" s="4" t="s">
        <v>146</v>
      </c>
      <c r="C5" s="4" t="s">
        <v>252</v>
      </c>
      <c r="D5" s="5" t="n">
        <v>273132</v>
      </c>
      <c r="E5" s="4" t="s">
        <v>247</v>
      </c>
      <c r="F5" s="4" t="s">
        <v>253</v>
      </c>
      <c r="G5" s="4" t="s">
        <v>24</v>
      </c>
      <c r="H5" s="4" t="s">
        <v>249</v>
      </c>
      <c r="I5" s="4" t="n">
        <v>1.1</v>
      </c>
      <c r="J5" s="4" t="s">
        <v>180</v>
      </c>
    </row>
    <row r="6" customFormat="false" ht="15" hidden="false" customHeight="true" outlineLevel="0" collapsed="false">
      <c r="A6" s="4" t="s">
        <v>254</v>
      </c>
      <c r="B6" s="4" t="s">
        <v>16</v>
      </c>
      <c r="C6" s="4" t="s">
        <v>255</v>
      </c>
      <c r="D6" s="5" t="n">
        <v>142151</v>
      </c>
      <c r="E6" s="4" t="s">
        <v>256</v>
      </c>
      <c r="F6" s="4" t="s">
        <v>253</v>
      </c>
      <c r="G6" s="4" t="s">
        <v>24</v>
      </c>
      <c r="H6" s="4" t="s">
        <v>249</v>
      </c>
      <c r="I6" s="4" t="n">
        <v>1</v>
      </c>
      <c r="J6" s="4" t="s">
        <v>250</v>
      </c>
    </row>
    <row r="7" customFormat="false" ht="15" hidden="false" customHeight="true" outlineLevel="0" collapsed="false">
      <c r="A7" s="4" t="s">
        <v>257</v>
      </c>
      <c r="B7" s="4" t="s">
        <v>117</v>
      </c>
      <c r="C7" s="4" t="s">
        <v>252</v>
      </c>
      <c r="D7" s="5" t="n">
        <v>70339</v>
      </c>
      <c r="E7" s="4" t="s">
        <v>258</v>
      </c>
      <c r="F7" s="4" t="s">
        <v>259</v>
      </c>
      <c r="G7" s="4" t="s">
        <v>24</v>
      </c>
      <c r="H7" s="4" t="s">
        <v>249</v>
      </c>
      <c r="I7" s="4" t="n">
        <v>0.6</v>
      </c>
      <c r="J7" s="4" t="s">
        <v>23</v>
      </c>
    </row>
    <row r="8" customFormat="false" ht="15" hidden="false" customHeight="true" outlineLevel="0" collapsed="false">
      <c r="A8" s="4" t="s">
        <v>260</v>
      </c>
      <c r="B8" s="4" t="s">
        <v>198</v>
      </c>
      <c r="C8" s="4" t="s">
        <v>246</v>
      </c>
      <c r="D8" s="5" t="n">
        <v>16783</v>
      </c>
      <c r="E8" s="4" t="s">
        <v>256</v>
      </c>
      <c r="F8" s="4" t="s">
        <v>253</v>
      </c>
      <c r="G8" s="4" t="s">
        <v>24</v>
      </c>
      <c r="H8" s="4" t="s">
        <v>249</v>
      </c>
      <c r="I8" s="4" t="n">
        <v>1.4</v>
      </c>
      <c r="J8" s="4" t="s">
        <v>261</v>
      </c>
    </row>
    <row r="9" customFormat="false" ht="15" hidden="false" customHeight="true" outlineLevel="0" collapsed="false">
      <c r="A9" s="4" t="s">
        <v>262</v>
      </c>
      <c r="B9" s="4" t="s">
        <v>178</v>
      </c>
      <c r="C9" s="4" t="s">
        <v>255</v>
      </c>
      <c r="D9" s="5" t="n">
        <v>107450</v>
      </c>
      <c r="E9" s="4" t="s">
        <v>263</v>
      </c>
      <c r="F9" s="4" t="s">
        <v>248</v>
      </c>
      <c r="G9" s="4" t="s">
        <v>24</v>
      </c>
      <c r="H9" s="4" t="s">
        <v>249</v>
      </c>
      <c r="I9" s="4" t="n">
        <v>0.7</v>
      </c>
      <c r="J9" s="4" t="s">
        <v>23</v>
      </c>
    </row>
    <row r="10" customFormat="false" ht="15" hidden="false" customHeight="true" outlineLevel="0" collapsed="false">
      <c r="A10" s="4" t="s">
        <v>264</v>
      </c>
      <c r="B10" s="4" t="s">
        <v>175</v>
      </c>
      <c r="C10" s="4" t="s">
        <v>252</v>
      </c>
      <c r="D10" s="5" t="n">
        <v>173951</v>
      </c>
      <c r="E10" s="4" t="s">
        <v>265</v>
      </c>
      <c r="F10" s="4" t="s">
        <v>253</v>
      </c>
      <c r="G10" s="4" t="s">
        <v>24</v>
      </c>
      <c r="H10" s="4" t="s">
        <v>249</v>
      </c>
      <c r="I10" s="4" t="n">
        <v>0.8</v>
      </c>
      <c r="J10" s="4" t="s">
        <v>112</v>
      </c>
    </row>
    <row r="11" customFormat="false" ht="15" hidden="false" customHeight="true" outlineLevel="0" collapsed="false">
      <c r="A11" s="4" t="s">
        <v>266</v>
      </c>
      <c r="B11" s="4" t="s">
        <v>212</v>
      </c>
      <c r="C11" s="4" t="s">
        <v>267</v>
      </c>
      <c r="D11" s="5" t="n">
        <v>1623474</v>
      </c>
      <c r="E11" s="4" t="s">
        <v>247</v>
      </c>
      <c r="F11" s="4" t="s">
        <v>253</v>
      </c>
      <c r="G11" s="4" t="s">
        <v>24</v>
      </c>
      <c r="H11" s="4" t="s">
        <v>249</v>
      </c>
      <c r="I11" s="4" t="n">
        <v>1</v>
      </c>
      <c r="J11" s="4" t="s">
        <v>222</v>
      </c>
    </row>
    <row r="12" customFormat="false" ht="15" hidden="false" customHeight="true" outlineLevel="0" collapsed="false">
      <c r="A12" s="4" t="s">
        <v>268</v>
      </c>
      <c r="B12" s="4" t="s">
        <v>40</v>
      </c>
      <c r="C12" s="4" t="s">
        <v>267</v>
      </c>
      <c r="D12" s="5" t="n">
        <v>2170220</v>
      </c>
      <c r="E12" s="4" t="s">
        <v>258</v>
      </c>
      <c r="F12" s="4" t="s">
        <v>248</v>
      </c>
      <c r="G12" s="4" t="s">
        <v>24</v>
      </c>
      <c r="H12" s="4" t="s">
        <v>249</v>
      </c>
      <c r="I12" s="4" t="n">
        <v>0.2</v>
      </c>
      <c r="J12" s="4" t="s">
        <v>180</v>
      </c>
    </row>
    <row r="13" customFormat="false" ht="15" hidden="false" customHeight="true" outlineLevel="0" collapsed="false">
      <c r="A13" s="4" t="s">
        <v>269</v>
      </c>
      <c r="B13" s="4" t="s">
        <v>154</v>
      </c>
      <c r="C13" s="4" t="s">
        <v>252</v>
      </c>
      <c r="D13" s="5" t="n">
        <v>43182</v>
      </c>
      <c r="E13" s="4" t="s">
        <v>265</v>
      </c>
      <c r="F13" s="4" t="s">
        <v>253</v>
      </c>
      <c r="G13" s="4" t="s">
        <v>24</v>
      </c>
      <c r="H13" s="4" t="s">
        <v>249</v>
      </c>
      <c r="I13" s="4" t="n">
        <v>0.6</v>
      </c>
      <c r="J13" s="4" t="s">
        <v>180</v>
      </c>
    </row>
    <row r="14" customFormat="false" ht="15" hidden="false" customHeight="true" outlineLevel="0" collapsed="false">
      <c r="A14" s="4" t="s">
        <v>270</v>
      </c>
      <c r="B14" s="4" t="s">
        <v>137</v>
      </c>
      <c r="C14" s="4" t="s">
        <v>246</v>
      </c>
      <c r="D14" s="5" t="n">
        <v>86090</v>
      </c>
      <c r="E14" s="4" t="s">
        <v>247</v>
      </c>
      <c r="F14" s="4" t="s">
        <v>248</v>
      </c>
      <c r="G14" s="4" t="s">
        <v>24</v>
      </c>
      <c r="H14" s="4" t="s">
        <v>249</v>
      </c>
      <c r="I14" s="4" t="n">
        <v>1.2</v>
      </c>
      <c r="J14" s="4" t="s">
        <v>250</v>
      </c>
    </row>
    <row r="15" customFormat="false" ht="15" hidden="false" customHeight="true" outlineLevel="0" collapsed="false">
      <c r="A15" s="4" t="s">
        <v>271</v>
      </c>
      <c r="B15" s="4" t="s">
        <v>198</v>
      </c>
      <c r="C15" s="4" t="s">
        <v>255</v>
      </c>
      <c r="D15" s="5" t="n">
        <v>14164</v>
      </c>
      <c r="E15" s="4" t="s">
        <v>263</v>
      </c>
      <c r="F15" s="4" t="s">
        <v>248</v>
      </c>
      <c r="G15" s="4" t="s">
        <v>24</v>
      </c>
      <c r="H15" s="4" t="s">
        <v>249</v>
      </c>
      <c r="I15" s="4" t="n">
        <v>1.2</v>
      </c>
      <c r="J15" s="4" t="s">
        <v>135</v>
      </c>
    </row>
    <row r="16" customFormat="false" ht="15" hidden="false" customHeight="true" outlineLevel="0" collapsed="false">
      <c r="A16" s="4" t="s">
        <v>272</v>
      </c>
      <c r="B16" s="4" t="s">
        <v>187</v>
      </c>
      <c r="C16" s="4" t="s">
        <v>255</v>
      </c>
      <c r="D16" s="5" t="n">
        <v>147518</v>
      </c>
      <c r="E16" s="4" t="s">
        <v>263</v>
      </c>
      <c r="F16" s="4" t="s">
        <v>253</v>
      </c>
      <c r="G16" s="4" t="s">
        <v>24</v>
      </c>
      <c r="H16" s="4" t="s">
        <v>249</v>
      </c>
      <c r="I16" s="4" t="n">
        <v>1.1</v>
      </c>
      <c r="J16" s="4" t="s">
        <v>112</v>
      </c>
    </row>
    <row r="17" customFormat="false" ht="15" hidden="false" customHeight="true" outlineLevel="0" collapsed="false">
      <c r="A17" s="4" t="s">
        <v>273</v>
      </c>
      <c r="B17" s="4" t="s">
        <v>163</v>
      </c>
      <c r="C17" s="4" t="s">
        <v>255</v>
      </c>
      <c r="D17" s="5" t="n">
        <v>144621</v>
      </c>
      <c r="E17" s="4" t="s">
        <v>265</v>
      </c>
      <c r="F17" s="4" t="s">
        <v>248</v>
      </c>
      <c r="G17" s="4" t="s">
        <v>24</v>
      </c>
      <c r="H17" s="4" t="s">
        <v>249</v>
      </c>
      <c r="I17" s="4" t="n">
        <v>1.2</v>
      </c>
      <c r="J17" s="4" t="s">
        <v>274</v>
      </c>
    </row>
    <row r="18" customFormat="false" ht="15" hidden="false" customHeight="true" outlineLevel="0" collapsed="false">
      <c r="A18" s="4" t="s">
        <v>275</v>
      </c>
      <c r="B18" s="4" t="s">
        <v>216</v>
      </c>
      <c r="C18" s="4" t="s">
        <v>252</v>
      </c>
      <c r="D18" s="5" t="n">
        <v>278311</v>
      </c>
      <c r="E18" s="4" t="s">
        <v>265</v>
      </c>
      <c r="F18" s="4" t="s">
        <v>259</v>
      </c>
      <c r="G18" s="4" t="s">
        <v>24</v>
      </c>
      <c r="H18" s="4" t="s">
        <v>249</v>
      </c>
      <c r="I18" s="4" t="n">
        <v>0.2</v>
      </c>
      <c r="J18" s="4" t="s">
        <v>65</v>
      </c>
    </row>
    <row r="19" customFormat="false" ht="15" hidden="false" customHeight="true" outlineLevel="0" collapsed="false">
      <c r="A19" s="4" t="s">
        <v>276</v>
      </c>
      <c r="B19" s="4" t="s">
        <v>114</v>
      </c>
      <c r="C19" s="4" t="s">
        <v>246</v>
      </c>
      <c r="D19" s="5" t="n">
        <v>44120</v>
      </c>
      <c r="E19" s="4" t="s">
        <v>258</v>
      </c>
      <c r="F19" s="4" t="s">
        <v>259</v>
      </c>
      <c r="G19" s="4" t="s">
        <v>24</v>
      </c>
      <c r="H19" s="4" t="s">
        <v>249</v>
      </c>
      <c r="I19" s="4" t="n">
        <v>0.4</v>
      </c>
      <c r="J19" s="4" t="s">
        <v>30</v>
      </c>
    </row>
    <row r="20" customFormat="false" ht="15" hidden="false" customHeight="true" outlineLevel="0" collapsed="false">
      <c r="A20" s="4" t="s">
        <v>277</v>
      </c>
      <c r="B20" s="4" t="s">
        <v>198</v>
      </c>
      <c r="C20" s="4" t="s">
        <v>246</v>
      </c>
      <c r="D20" s="5" t="n">
        <v>28143</v>
      </c>
      <c r="E20" s="4" t="s">
        <v>247</v>
      </c>
      <c r="F20" s="4" t="s">
        <v>253</v>
      </c>
      <c r="G20" s="4" t="s">
        <v>24</v>
      </c>
      <c r="H20" s="4" t="s">
        <v>249</v>
      </c>
      <c r="I20" s="4" t="n">
        <v>0.8</v>
      </c>
      <c r="J20" s="4" t="s">
        <v>278</v>
      </c>
    </row>
    <row r="21" customFormat="false" ht="15" hidden="false" customHeight="true" outlineLevel="0" collapsed="false">
      <c r="A21" s="4" t="s">
        <v>279</v>
      </c>
      <c r="B21" s="4" t="s">
        <v>26</v>
      </c>
      <c r="C21" s="4" t="s">
        <v>246</v>
      </c>
      <c r="D21" s="5" t="n">
        <v>55169</v>
      </c>
      <c r="E21" s="4" t="s">
        <v>265</v>
      </c>
      <c r="F21" s="4" t="s">
        <v>259</v>
      </c>
      <c r="G21" s="4" t="s">
        <v>24</v>
      </c>
      <c r="H21" s="4" t="s">
        <v>63</v>
      </c>
      <c r="I21" s="4" t="n">
        <v>1.6</v>
      </c>
      <c r="J21" s="4" t="s">
        <v>76</v>
      </c>
    </row>
    <row r="22" customFormat="false" ht="15" hidden="false" customHeight="true" outlineLevel="0" collapsed="false">
      <c r="A22" s="4" t="s">
        <v>280</v>
      </c>
      <c r="B22" s="4" t="s">
        <v>137</v>
      </c>
      <c r="C22" s="4" t="s">
        <v>255</v>
      </c>
      <c r="D22" s="5" t="n">
        <v>93211</v>
      </c>
      <c r="E22" s="4" t="s">
        <v>258</v>
      </c>
      <c r="F22" s="4" t="s">
        <v>253</v>
      </c>
      <c r="G22" s="4" t="s">
        <v>24</v>
      </c>
      <c r="H22" s="4" t="s">
        <v>249</v>
      </c>
      <c r="I22" s="4" t="n">
        <v>1.1</v>
      </c>
      <c r="J22" s="4" t="s">
        <v>278</v>
      </c>
    </row>
    <row r="23" customFormat="false" ht="15" hidden="false" customHeight="true" outlineLevel="0" collapsed="false">
      <c r="A23" s="4" t="s">
        <v>281</v>
      </c>
      <c r="B23" s="4" t="s">
        <v>212</v>
      </c>
      <c r="C23" s="4" t="s">
        <v>252</v>
      </c>
      <c r="D23" s="5" t="n">
        <v>120625</v>
      </c>
      <c r="E23" s="4" t="s">
        <v>265</v>
      </c>
      <c r="F23" s="4" t="s">
        <v>248</v>
      </c>
      <c r="G23" s="4" t="s">
        <v>24</v>
      </c>
      <c r="H23" s="4" t="s">
        <v>249</v>
      </c>
      <c r="I23" s="4" t="n">
        <v>0.1</v>
      </c>
      <c r="J23" s="4" t="s">
        <v>22</v>
      </c>
    </row>
    <row r="24" customFormat="false" ht="15" hidden="false" customHeight="true" outlineLevel="0" collapsed="false">
      <c r="A24" s="4" t="s">
        <v>282</v>
      </c>
      <c r="B24" s="4" t="s">
        <v>117</v>
      </c>
      <c r="C24" s="4" t="s">
        <v>252</v>
      </c>
      <c r="D24" s="5" t="n">
        <v>216978</v>
      </c>
      <c r="E24" s="4" t="s">
        <v>256</v>
      </c>
      <c r="F24" s="4" t="s">
        <v>253</v>
      </c>
      <c r="G24" s="4" t="s">
        <v>24</v>
      </c>
      <c r="H24" s="4" t="s">
        <v>283</v>
      </c>
      <c r="I24" s="4" t="n">
        <v>1.8</v>
      </c>
      <c r="J24" s="4" t="s">
        <v>94</v>
      </c>
    </row>
    <row r="25" customFormat="false" ht="15" hidden="false" customHeight="true" outlineLevel="0" collapsed="false">
      <c r="A25" s="4" t="s">
        <v>284</v>
      </c>
      <c r="B25" s="4" t="s">
        <v>230</v>
      </c>
      <c r="C25" s="4" t="s">
        <v>255</v>
      </c>
      <c r="D25" s="5" t="n">
        <v>148951</v>
      </c>
      <c r="E25" s="4" t="s">
        <v>247</v>
      </c>
      <c r="F25" s="4" t="s">
        <v>248</v>
      </c>
      <c r="G25" s="4" t="s">
        <v>24</v>
      </c>
      <c r="H25" s="4" t="s">
        <v>249</v>
      </c>
      <c r="I25" s="4" t="n">
        <v>0.7</v>
      </c>
      <c r="J25" s="4" t="s">
        <v>250</v>
      </c>
    </row>
    <row r="26" customFormat="false" ht="15" hidden="false" customHeight="true" outlineLevel="0" collapsed="false">
      <c r="A26" s="4" t="s">
        <v>285</v>
      </c>
      <c r="B26" s="4" t="s">
        <v>26</v>
      </c>
      <c r="C26" s="4" t="s">
        <v>246</v>
      </c>
      <c r="D26" s="5" t="n">
        <v>43006</v>
      </c>
      <c r="E26" s="4" t="s">
        <v>256</v>
      </c>
      <c r="F26" s="4" t="s">
        <v>253</v>
      </c>
      <c r="G26" s="4" t="s">
        <v>24</v>
      </c>
      <c r="H26" s="4" t="s">
        <v>249</v>
      </c>
      <c r="I26" s="4" t="n">
        <v>1.3</v>
      </c>
      <c r="J26" s="4" t="s">
        <v>286</v>
      </c>
    </row>
    <row r="27" customFormat="false" ht="15" hidden="false" customHeight="true" outlineLevel="0" collapsed="false">
      <c r="A27" s="4" t="s">
        <v>287</v>
      </c>
      <c r="B27" s="4" t="s">
        <v>109</v>
      </c>
      <c r="C27" s="4" t="s">
        <v>252</v>
      </c>
      <c r="D27" s="5" t="n">
        <v>226021</v>
      </c>
      <c r="E27" s="4" t="s">
        <v>258</v>
      </c>
      <c r="F27" s="4" t="s">
        <v>248</v>
      </c>
      <c r="G27" s="4" t="s">
        <v>24</v>
      </c>
      <c r="H27" s="4" t="s">
        <v>249</v>
      </c>
      <c r="I27" s="4" t="n">
        <v>0.9</v>
      </c>
      <c r="J27" s="4" t="s">
        <v>274</v>
      </c>
    </row>
    <row r="28" customFormat="false" ht="15" hidden="false" customHeight="true" outlineLevel="0" collapsed="false">
      <c r="A28" s="4" t="s">
        <v>288</v>
      </c>
      <c r="B28" s="4" t="s">
        <v>132</v>
      </c>
      <c r="C28" s="4" t="s">
        <v>246</v>
      </c>
      <c r="D28" s="5" t="n">
        <v>9093</v>
      </c>
      <c r="E28" s="4" t="s">
        <v>247</v>
      </c>
      <c r="F28" s="4" t="s">
        <v>248</v>
      </c>
      <c r="G28" s="4" t="s">
        <v>24</v>
      </c>
      <c r="H28" s="4" t="s">
        <v>249</v>
      </c>
      <c r="I28" s="4" t="n">
        <v>0.1</v>
      </c>
      <c r="J28" s="4" t="s">
        <v>65</v>
      </c>
    </row>
    <row r="29" customFormat="false" ht="15" hidden="false" customHeight="true" outlineLevel="0" collapsed="false">
      <c r="A29" s="4" t="s">
        <v>289</v>
      </c>
      <c r="B29" s="4" t="s">
        <v>69</v>
      </c>
      <c r="C29" s="4" t="s">
        <v>246</v>
      </c>
      <c r="D29" s="5" t="n">
        <v>62170</v>
      </c>
      <c r="E29" s="4" t="s">
        <v>247</v>
      </c>
      <c r="F29" s="4" t="s">
        <v>259</v>
      </c>
      <c r="G29" s="4" t="s">
        <v>24</v>
      </c>
      <c r="H29" s="4" t="s">
        <v>249</v>
      </c>
      <c r="I29" s="4" t="n">
        <v>0.5</v>
      </c>
      <c r="J29" s="4" t="s">
        <v>203</v>
      </c>
    </row>
    <row r="30" customFormat="false" ht="15" hidden="false" customHeight="true" outlineLevel="0" collapsed="false">
      <c r="A30" s="4" t="s">
        <v>290</v>
      </c>
      <c r="B30" s="4" t="s">
        <v>132</v>
      </c>
      <c r="C30" s="4" t="s">
        <v>246</v>
      </c>
      <c r="D30" s="5" t="n">
        <v>79693</v>
      </c>
      <c r="E30" s="4" t="s">
        <v>247</v>
      </c>
      <c r="F30" s="4" t="s">
        <v>248</v>
      </c>
      <c r="G30" s="4" t="s">
        <v>24</v>
      </c>
      <c r="H30" s="4" t="s">
        <v>249</v>
      </c>
      <c r="I30" s="4" t="n">
        <v>0.1</v>
      </c>
      <c r="J30" s="4" t="s">
        <v>23</v>
      </c>
    </row>
    <row r="31" customFormat="false" ht="15" hidden="false" customHeight="true" outlineLevel="0" collapsed="false">
      <c r="A31" s="4" t="s">
        <v>291</v>
      </c>
      <c r="B31" s="4" t="s">
        <v>114</v>
      </c>
      <c r="C31" s="4" t="s">
        <v>255</v>
      </c>
      <c r="D31" s="5" t="n">
        <v>99384</v>
      </c>
      <c r="E31" s="4" t="s">
        <v>265</v>
      </c>
      <c r="F31" s="4" t="s">
        <v>259</v>
      </c>
      <c r="G31" s="4" t="s">
        <v>24</v>
      </c>
      <c r="H31" s="4" t="s">
        <v>249</v>
      </c>
      <c r="I31" s="4" t="n">
        <v>1.1</v>
      </c>
      <c r="J31" s="4" t="s">
        <v>180</v>
      </c>
    </row>
    <row r="32" customFormat="false" ht="15" hidden="false" customHeight="true" outlineLevel="0" collapsed="false">
      <c r="A32" s="4" t="s">
        <v>292</v>
      </c>
      <c r="B32" s="4" t="s">
        <v>182</v>
      </c>
      <c r="C32" s="4" t="s">
        <v>246</v>
      </c>
      <c r="D32" s="5" t="n">
        <v>91482</v>
      </c>
      <c r="E32" s="4" t="s">
        <v>258</v>
      </c>
      <c r="F32" s="4" t="s">
        <v>259</v>
      </c>
      <c r="G32" s="4" t="s">
        <v>24</v>
      </c>
      <c r="H32" s="4" t="s">
        <v>63</v>
      </c>
      <c r="I32" s="4" t="n">
        <v>1.2</v>
      </c>
      <c r="J32" s="4" t="s">
        <v>135</v>
      </c>
    </row>
    <row r="33" customFormat="false" ht="15" hidden="false" customHeight="true" outlineLevel="0" collapsed="false">
      <c r="A33" s="4" t="s">
        <v>293</v>
      </c>
      <c r="B33" s="4" t="s">
        <v>26</v>
      </c>
      <c r="C33" s="4" t="s">
        <v>246</v>
      </c>
      <c r="D33" s="5" t="n">
        <v>56248</v>
      </c>
      <c r="E33" s="4" t="s">
        <v>258</v>
      </c>
      <c r="F33" s="4" t="s">
        <v>248</v>
      </c>
      <c r="G33" s="4" t="s">
        <v>24</v>
      </c>
      <c r="H33" s="4" t="s">
        <v>249</v>
      </c>
      <c r="I33" s="4" t="n">
        <v>0.1</v>
      </c>
      <c r="J33" s="4" t="s">
        <v>222</v>
      </c>
    </row>
    <row r="34" customFormat="false" ht="15" hidden="false" customHeight="true" outlineLevel="0" collapsed="false">
      <c r="A34" s="4" t="s">
        <v>294</v>
      </c>
      <c r="B34" s="4" t="s">
        <v>146</v>
      </c>
      <c r="C34" s="4" t="s">
        <v>267</v>
      </c>
      <c r="D34" s="5" t="n">
        <v>1085324</v>
      </c>
      <c r="E34" s="4" t="s">
        <v>265</v>
      </c>
      <c r="F34" s="4" t="s">
        <v>253</v>
      </c>
      <c r="G34" s="4" t="s">
        <v>24</v>
      </c>
      <c r="H34" s="4" t="s">
        <v>249</v>
      </c>
      <c r="I34" s="4" t="n">
        <v>0.7</v>
      </c>
      <c r="J34" s="4" t="s">
        <v>295</v>
      </c>
    </row>
    <row r="35" customFormat="false" ht="15" hidden="false" customHeight="true" outlineLevel="0" collapsed="false">
      <c r="A35" s="4" t="s">
        <v>296</v>
      </c>
      <c r="B35" s="4" t="s">
        <v>201</v>
      </c>
      <c r="C35" s="4" t="s">
        <v>255</v>
      </c>
      <c r="D35" s="5" t="n">
        <v>171513</v>
      </c>
      <c r="E35" s="4" t="s">
        <v>258</v>
      </c>
      <c r="F35" s="4" t="s">
        <v>259</v>
      </c>
      <c r="G35" s="4" t="s">
        <v>24</v>
      </c>
      <c r="H35" s="4" t="s">
        <v>63</v>
      </c>
      <c r="I35" s="4" t="n">
        <v>1</v>
      </c>
      <c r="J35" s="4" t="s">
        <v>297</v>
      </c>
    </row>
    <row r="36" customFormat="false" ht="15" hidden="false" customHeight="true" outlineLevel="0" collapsed="false">
      <c r="A36" s="4" t="s">
        <v>298</v>
      </c>
      <c r="B36" s="4" t="s">
        <v>216</v>
      </c>
      <c r="C36" s="4" t="s">
        <v>252</v>
      </c>
      <c r="D36" s="5" t="n">
        <v>145716</v>
      </c>
      <c r="E36" s="4" t="s">
        <v>258</v>
      </c>
      <c r="F36" s="4" t="s">
        <v>248</v>
      </c>
      <c r="G36" s="4" t="s">
        <v>24</v>
      </c>
      <c r="H36" s="4" t="s">
        <v>249</v>
      </c>
      <c r="I36" s="4" t="n">
        <v>0.7</v>
      </c>
      <c r="J36" s="4" t="s">
        <v>30</v>
      </c>
    </row>
    <row r="37" customFormat="false" ht="15" hidden="false" customHeight="true" outlineLevel="0" collapsed="false">
      <c r="A37" s="4" t="s">
        <v>299</v>
      </c>
      <c r="B37" s="4" t="s">
        <v>206</v>
      </c>
      <c r="C37" s="4" t="s">
        <v>255</v>
      </c>
      <c r="D37" s="5" t="n">
        <v>160994</v>
      </c>
      <c r="E37" s="4" t="s">
        <v>265</v>
      </c>
      <c r="F37" s="4" t="s">
        <v>253</v>
      </c>
      <c r="G37" s="4" t="s">
        <v>24</v>
      </c>
      <c r="H37" s="4" t="s">
        <v>249</v>
      </c>
      <c r="I37" s="4" t="n">
        <v>0.6</v>
      </c>
      <c r="J37" s="4" t="s">
        <v>76</v>
      </c>
    </row>
    <row r="38" customFormat="false" ht="15" hidden="false" customHeight="true" outlineLevel="0" collapsed="false">
      <c r="A38" s="4" t="s">
        <v>300</v>
      </c>
      <c r="B38" s="4" t="s">
        <v>154</v>
      </c>
      <c r="C38" s="4" t="s">
        <v>246</v>
      </c>
      <c r="D38" s="5" t="n">
        <v>33962</v>
      </c>
      <c r="E38" s="4" t="s">
        <v>258</v>
      </c>
      <c r="F38" s="4" t="s">
        <v>253</v>
      </c>
      <c r="G38" s="4" t="s">
        <v>24</v>
      </c>
      <c r="H38" s="4" t="s">
        <v>249</v>
      </c>
      <c r="I38" s="4" t="n">
        <v>0.8</v>
      </c>
      <c r="J38" s="4" t="s">
        <v>22</v>
      </c>
    </row>
    <row r="39" customFormat="false" ht="15" hidden="false" customHeight="true" outlineLevel="0" collapsed="false">
      <c r="A39" s="4" t="s">
        <v>301</v>
      </c>
      <c r="B39" s="4" t="s">
        <v>87</v>
      </c>
      <c r="C39" s="4" t="s">
        <v>246</v>
      </c>
      <c r="D39" s="5" t="n">
        <v>94481</v>
      </c>
      <c r="E39" s="4" t="s">
        <v>265</v>
      </c>
      <c r="F39" s="4" t="s">
        <v>253</v>
      </c>
      <c r="G39" s="4" t="s">
        <v>24</v>
      </c>
      <c r="H39" s="4" t="s">
        <v>249</v>
      </c>
      <c r="I39" s="4" t="n">
        <v>1.1</v>
      </c>
      <c r="J39" s="4" t="s">
        <v>302</v>
      </c>
    </row>
    <row r="40" customFormat="false" ht="15" hidden="false" customHeight="true" outlineLevel="0" collapsed="false">
      <c r="A40" s="4" t="s">
        <v>303</v>
      </c>
      <c r="B40" s="4" t="s">
        <v>182</v>
      </c>
      <c r="C40" s="4" t="s">
        <v>252</v>
      </c>
      <c r="D40" s="5" t="n">
        <v>239972</v>
      </c>
      <c r="E40" s="4" t="s">
        <v>247</v>
      </c>
      <c r="F40" s="4" t="s">
        <v>248</v>
      </c>
      <c r="G40" s="4" t="s">
        <v>24</v>
      </c>
      <c r="H40" s="4" t="s">
        <v>249</v>
      </c>
      <c r="I40" s="4" t="n">
        <v>1.1</v>
      </c>
      <c r="J40" s="4" t="s">
        <v>38</v>
      </c>
    </row>
    <row r="41" customFormat="false" ht="15" hidden="false" customHeight="true" outlineLevel="0" collapsed="false">
      <c r="A41" s="4" t="s">
        <v>304</v>
      </c>
      <c r="B41" s="4" t="s">
        <v>114</v>
      </c>
      <c r="C41" s="4" t="s">
        <v>252</v>
      </c>
      <c r="D41" s="5" t="n">
        <v>198472</v>
      </c>
      <c r="E41" s="4" t="s">
        <v>265</v>
      </c>
      <c r="F41" s="4" t="s">
        <v>259</v>
      </c>
      <c r="G41" s="4" t="s">
        <v>24</v>
      </c>
      <c r="H41" s="4" t="s">
        <v>249</v>
      </c>
      <c r="I41" s="4" t="n">
        <v>1.5</v>
      </c>
      <c r="J41" s="4" t="s">
        <v>305</v>
      </c>
    </row>
    <row r="42" customFormat="false" ht="15" hidden="false" customHeight="true" outlineLevel="0" collapsed="false">
      <c r="A42" s="4" t="s">
        <v>306</v>
      </c>
      <c r="B42" s="4" t="s">
        <v>171</v>
      </c>
      <c r="C42" s="4" t="s">
        <v>246</v>
      </c>
      <c r="D42" s="5" t="n">
        <v>92224</v>
      </c>
      <c r="E42" s="4" t="s">
        <v>265</v>
      </c>
      <c r="F42" s="4" t="s">
        <v>253</v>
      </c>
      <c r="G42" s="4" t="s">
        <v>24</v>
      </c>
      <c r="H42" s="4" t="s">
        <v>249</v>
      </c>
      <c r="I42" s="4" t="n">
        <v>0.3</v>
      </c>
      <c r="J42" s="4" t="s">
        <v>23</v>
      </c>
    </row>
    <row r="43" customFormat="false" ht="15" hidden="false" customHeight="true" outlineLevel="0" collapsed="false">
      <c r="A43" s="4" t="s">
        <v>307</v>
      </c>
      <c r="B43" s="4" t="s">
        <v>87</v>
      </c>
      <c r="C43" s="4" t="s">
        <v>246</v>
      </c>
      <c r="D43" s="5" t="n">
        <v>97470</v>
      </c>
      <c r="E43" s="4" t="s">
        <v>263</v>
      </c>
      <c r="F43" s="4" t="s">
        <v>259</v>
      </c>
      <c r="G43" s="4" t="s">
        <v>24</v>
      </c>
      <c r="H43" s="4" t="s">
        <v>249</v>
      </c>
      <c r="I43" s="4" t="n">
        <v>1.1</v>
      </c>
      <c r="J43" s="4" t="s">
        <v>71</v>
      </c>
    </row>
    <row r="44" customFormat="false" ht="15" hidden="false" customHeight="true" outlineLevel="0" collapsed="false">
      <c r="A44" s="4" t="s">
        <v>308</v>
      </c>
      <c r="B44" s="4" t="s">
        <v>109</v>
      </c>
      <c r="C44" s="4" t="s">
        <v>252</v>
      </c>
      <c r="D44" s="5" t="n">
        <v>280060</v>
      </c>
      <c r="E44" s="4" t="s">
        <v>263</v>
      </c>
      <c r="F44" s="4" t="s">
        <v>253</v>
      </c>
      <c r="G44" s="4" t="s">
        <v>24</v>
      </c>
      <c r="H44" s="4" t="s">
        <v>63</v>
      </c>
      <c r="I44" s="4" t="n">
        <v>0.7</v>
      </c>
      <c r="J44" s="4" t="s">
        <v>31</v>
      </c>
    </row>
    <row r="45" customFormat="false" ht="15" hidden="false" customHeight="true" outlineLevel="0" collapsed="false">
      <c r="A45" s="4" t="s">
        <v>309</v>
      </c>
      <c r="B45" s="4" t="s">
        <v>132</v>
      </c>
      <c r="C45" s="4" t="s">
        <v>246</v>
      </c>
      <c r="D45" s="5" t="n">
        <v>1954</v>
      </c>
      <c r="E45" s="4" t="s">
        <v>263</v>
      </c>
      <c r="F45" s="4" t="s">
        <v>248</v>
      </c>
      <c r="G45" s="4" t="s">
        <v>24</v>
      </c>
      <c r="H45" s="4" t="s">
        <v>249</v>
      </c>
      <c r="I45" s="4" t="n">
        <v>0.2</v>
      </c>
      <c r="J45" s="4" t="s">
        <v>22</v>
      </c>
    </row>
    <row r="46" customFormat="false" ht="15" hidden="false" customHeight="true" outlineLevel="0" collapsed="false">
      <c r="A46" s="4" t="s">
        <v>310</v>
      </c>
      <c r="B46" s="4" t="s">
        <v>114</v>
      </c>
      <c r="C46" s="4" t="s">
        <v>252</v>
      </c>
      <c r="D46" s="5" t="n">
        <v>71206</v>
      </c>
      <c r="E46" s="4" t="s">
        <v>265</v>
      </c>
      <c r="F46" s="4" t="s">
        <v>248</v>
      </c>
      <c r="G46" s="4" t="s">
        <v>24</v>
      </c>
      <c r="H46" s="4" t="s">
        <v>249</v>
      </c>
      <c r="I46" s="4" t="n">
        <v>0.8</v>
      </c>
      <c r="J46" s="4" t="s">
        <v>214</v>
      </c>
    </row>
    <row r="47" customFormat="false" ht="15" hidden="false" customHeight="true" outlineLevel="0" collapsed="false">
      <c r="A47" s="4" t="s">
        <v>311</v>
      </c>
      <c r="B47" s="4" t="s">
        <v>150</v>
      </c>
      <c r="C47" s="4" t="s">
        <v>246</v>
      </c>
      <c r="D47" s="5" t="n">
        <v>6834</v>
      </c>
      <c r="E47" s="4" t="s">
        <v>258</v>
      </c>
      <c r="F47" s="4" t="s">
        <v>253</v>
      </c>
      <c r="G47" s="4" t="s">
        <v>24</v>
      </c>
      <c r="H47" s="4" t="s">
        <v>63</v>
      </c>
      <c r="I47" s="4" t="n">
        <v>0.9</v>
      </c>
      <c r="J47" s="4" t="s">
        <v>135</v>
      </c>
    </row>
    <row r="48" customFormat="false" ht="15" hidden="false" customHeight="true" outlineLevel="0" collapsed="false">
      <c r="A48" s="4" t="s">
        <v>312</v>
      </c>
      <c r="B48" s="4" t="s">
        <v>40</v>
      </c>
      <c r="C48" s="4" t="s">
        <v>255</v>
      </c>
      <c r="D48" s="5" t="n">
        <v>180949</v>
      </c>
      <c r="E48" s="4" t="s">
        <v>247</v>
      </c>
      <c r="F48" s="4" t="s">
        <v>248</v>
      </c>
      <c r="G48" s="4" t="s">
        <v>24</v>
      </c>
      <c r="H48" s="4" t="s">
        <v>63</v>
      </c>
      <c r="I48" s="4" t="n">
        <v>1.9</v>
      </c>
      <c r="J48" s="4" t="s">
        <v>90</v>
      </c>
    </row>
    <row r="49" customFormat="false" ht="15" hidden="false" customHeight="true" outlineLevel="0" collapsed="false">
      <c r="A49" s="4" t="s">
        <v>313</v>
      </c>
      <c r="B49" s="4" t="s">
        <v>40</v>
      </c>
      <c r="C49" s="4" t="s">
        <v>314</v>
      </c>
      <c r="D49" s="5" t="n">
        <v>298410</v>
      </c>
      <c r="E49" s="4" t="s">
        <v>263</v>
      </c>
      <c r="F49" s="4" t="s">
        <v>253</v>
      </c>
      <c r="G49" s="4" t="s">
        <v>24</v>
      </c>
      <c r="H49" s="4" t="s">
        <v>63</v>
      </c>
      <c r="I49" s="4" t="n">
        <v>0.9</v>
      </c>
      <c r="J49" s="4" t="s">
        <v>64</v>
      </c>
    </row>
    <row r="50" customFormat="false" ht="15" hidden="false" customHeight="true" outlineLevel="0" collapsed="false">
      <c r="A50" s="4" t="s">
        <v>315</v>
      </c>
      <c r="B50" s="4" t="s">
        <v>230</v>
      </c>
      <c r="C50" s="4" t="s">
        <v>255</v>
      </c>
      <c r="D50" s="5" t="n">
        <v>155278</v>
      </c>
      <c r="E50" s="4" t="s">
        <v>265</v>
      </c>
      <c r="F50" s="4" t="s">
        <v>253</v>
      </c>
      <c r="G50" s="4" t="s">
        <v>24</v>
      </c>
      <c r="H50" s="4" t="s">
        <v>249</v>
      </c>
      <c r="I50" s="4" t="n">
        <v>1.1</v>
      </c>
      <c r="J50" s="4" t="s">
        <v>99</v>
      </c>
    </row>
    <row r="51" customFormat="false" ht="15" hidden="false" customHeight="true" outlineLevel="0" collapsed="false">
      <c r="A51" s="4" t="s">
        <v>316</v>
      </c>
      <c r="B51" s="4" t="s">
        <v>206</v>
      </c>
      <c r="C51" s="4" t="s">
        <v>246</v>
      </c>
      <c r="D51" s="5" t="n">
        <v>27759</v>
      </c>
      <c r="E51" s="4" t="s">
        <v>258</v>
      </c>
      <c r="F51" s="4" t="s">
        <v>259</v>
      </c>
      <c r="G51" s="4" t="s">
        <v>24</v>
      </c>
      <c r="H51" s="4" t="s">
        <v>249</v>
      </c>
      <c r="I51" s="4" t="n">
        <v>0.3</v>
      </c>
      <c r="J51" s="4" t="s">
        <v>30</v>
      </c>
    </row>
    <row r="52" customFormat="false" ht="15" hidden="false" customHeight="true" outlineLevel="0" collapsed="false">
      <c r="A52" s="4" t="s">
        <v>317</v>
      </c>
      <c r="B52" s="4" t="s">
        <v>40</v>
      </c>
      <c r="C52" s="4" t="s">
        <v>246</v>
      </c>
      <c r="D52" s="5" t="n">
        <v>53645</v>
      </c>
      <c r="E52" s="4" t="s">
        <v>265</v>
      </c>
      <c r="F52" s="4" t="s">
        <v>259</v>
      </c>
      <c r="G52" s="4" t="s">
        <v>24</v>
      </c>
      <c r="H52" s="4" t="s">
        <v>249</v>
      </c>
      <c r="I52" s="4" t="n">
        <v>0.4</v>
      </c>
      <c r="J52" s="4" t="s">
        <v>274</v>
      </c>
    </row>
    <row r="53" customFormat="false" ht="15" hidden="false" customHeight="true" outlineLevel="0" collapsed="false">
      <c r="A53" s="4" t="s">
        <v>318</v>
      </c>
      <c r="B53" s="4" t="s">
        <v>198</v>
      </c>
      <c r="C53" s="4" t="s">
        <v>246</v>
      </c>
      <c r="D53" s="5" t="n">
        <v>59610</v>
      </c>
      <c r="E53" s="4" t="s">
        <v>247</v>
      </c>
      <c r="F53" s="4" t="s">
        <v>259</v>
      </c>
      <c r="G53" s="4" t="s">
        <v>36</v>
      </c>
      <c r="H53" s="4" t="s">
        <v>36</v>
      </c>
      <c r="I53" s="4"/>
      <c r="J53" s="4" t="s">
        <v>64</v>
      </c>
    </row>
    <row r="54" customFormat="false" ht="15" hidden="false" customHeight="true" outlineLevel="0" collapsed="false">
      <c r="A54" s="4" t="s">
        <v>319</v>
      </c>
      <c r="B54" s="4" t="s">
        <v>212</v>
      </c>
      <c r="C54" s="4" t="s">
        <v>252</v>
      </c>
      <c r="D54" s="5" t="n">
        <v>108714</v>
      </c>
      <c r="E54" s="4" t="s">
        <v>265</v>
      </c>
      <c r="F54" s="4" t="s">
        <v>248</v>
      </c>
      <c r="G54" s="4" t="s">
        <v>24</v>
      </c>
      <c r="H54" s="4" t="s">
        <v>249</v>
      </c>
      <c r="I54" s="4" t="n">
        <v>0.3</v>
      </c>
      <c r="J54" s="4" t="s">
        <v>297</v>
      </c>
    </row>
    <row r="55" customFormat="false" ht="15" hidden="false" customHeight="true" outlineLevel="0" collapsed="false">
      <c r="A55" s="4" t="s">
        <v>320</v>
      </c>
      <c r="B55" s="4" t="s">
        <v>109</v>
      </c>
      <c r="C55" s="4" t="s">
        <v>267</v>
      </c>
      <c r="D55" s="5" t="n">
        <v>799029</v>
      </c>
      <c r="E55" s="4" t="s">
        <v>247</v>
      </c>
      <c r="F55" s="4" t="s">
        <v>248</v>
      </c>
      <c r="G55" s="4" t="s">
        <v>24</v>
      </c>
      <c r="H55" s="4" t="s">
        <v>249</v>
      </c>
      <c r="I55" s="4" t="n">
        <v>1.3</v>
      </c>
      <c r="J55" s="4" t="s">
        <v>23</v>
      </c>
    </row>
    <row r="56" customFormat="false" ht="15" hidden="false" customHeight="true" outlineLevel="0" collapsed="false">
      <c r="A56" s="4" t="s">
        <v>321</v>
      </c>
      <c r="B56" s="4" t="s">
        <v>230</v>
      </c>
      <c r="C56" s="4" t="s">
        <v>246</v>
      </c>
      <c r="D56" s="5" t="n">
        <v>16399</v>
      </c>
      <c r="E56" s="4" t="s">
        <v>265</v>
      </c>
      <c r="F56" s="4" t="s">
        <v>259</v>
      </c>
      <c r="G56" s="4" t="s">
        <v>24</v>
      </c>
      <c r="H56" s="4" t="s">
        <v>249</v>
      </c>
      <c r="I56" s="4" t="n">
        <v>1.4</v>
      </c>
      <c r="J56" s="4" t="s">
        <v>23</v>
      </c>
    </row>
    <row r="57" customFormat="false" ht="15" hidden="false" customHeight="true" outlineLevel="0" collapsed="false">
      <c r="A57" s="4" t="s">
        <v>322</v>
      </c>
      <c r="B57" s="4" t="s">
        <v>163</v>
      </c>
      <c r="C57" s="4" t="s">
        <v>255</v>
      </c>
      <c r="D57" s="5" t="n">
        <v>115755</v>
      </c>
      <c r="E57" s="4" t="s">
        <v>247</v>
      </c>
      <c r="F57" s="4" t="s">
        <v>259</v>
      </c>
      <c r="G57" s="4" t="s">
        <v>24</v>
      </c>
      <c r="H57" s="4" t="s">
        <v>63</v>
      </c>
      <c r="I57" s="4" t="n">
        <v>1.5</v>
      </c>
      <c r="J57" s="4" t="s">
        <v>89</v>
      </c>
    </row>
    <row r="58" customFormat="false" ht="15" hidden="false" customHeight="true" outlineLevel="0" collapsed="false">
      <c r="A58" s="4" t="s">
        <v>323</v>
      </c>
      <c r="B58" s="4" t="s">
        <v>178</v>
      </c>
      <c r="C58" s="4" t="s">
        <v>246</v>
      </c>
      <c r="D58" s="5" t="n">
        <v>12070</v>
      </c>
      <c r="E58" s="4" t="s">
        <v>256</v>
      </c>
      <c r="F58" s="4" t="s">
        <v>259</v>
      </c>
      <c r="G58" s="4" t="s">
        <v>24</v>
      </c>
      <c r="H58" s="4" t="s">
        <v>283</v>
      </c>
      <c r="I58" s="4" t="n">
        <v>2.2</v>
      </c>
      <c r="J58" s="4" t="s">
        <v>76</v>
      </c>
    </row>
    <row r="59" customFormat="false" ht="15" hidden="false" customHeight="true" outlineLevel="0" collapsed="false">
      <c r="A59" s="4" t="s">
        <v>324</v>
      </c>
      <c r="B59" s="4" t="s">
        <v>109</v>
      </c>
      <c r="C59" s="4" t="s">
        <v>255</v>
      </c>
      <c r="D59" s="5" t="n">
        <v>199251</v>
      </c>
      <c r="E59" s="4" t="s">
        <v>256</v>
      </c>
      <c r="F59" s="4" t="s">
        <v>253</v>
      </c>
      <c r="G59" s="4" t="s">
        <v>24</v>
      </c>
      <c r="H59" s="4" t="s">
        <v>249</v>
      </c>
      <c r="I59" s="4" t="n">
        <v>1.4</v>
      </c>
      <c r="J59" s="4" t="s">
        <v>305</v>
      </c>
    </row>
    <row r="60" customFormat="false" ht="15" hidden="false" customHeight="true" outlineLevel="0" collapsed="false">
      <c r="A60" s="4" t="s">
        <v>325</v>
      </c>
      <c r="B60" s="4" t="s">
        <v>73</v>
      </c>
      <c r="C60" s="4" t="s">
        <v>314</v>
      </c>
      <c r="D60" s="5" t="n">
        <v>964117</v>
      </c>
      <c r="E60" s="4" t="s">
        <v>265</v>
      </c>
      <c r="F60" s="4" t="s">
        <v>248</v>
      </c>
      <c r="G60" s="4" t="s">
        <v>24</v>
      </c>
      <c r="H60" s="4" t="s">
        <v>249</v>
      </c>
      <c r="I60" s="4" t="n">
        <v>0.6</v>
      </c>
      <c r="J60" s="4" t="s">
        <v>274</v>
      </c>
    </row>
    <row r="61" customFormat="false" ht="15" hidden="false" customHeight="true" outlineLevel="0" collapsed="false">
      <c r="A61" s="4" t="s">
        <v>326</v>
      </c>
      <c r="B61" s="4" t="s">
        <v>187</v>
      </c>
      <c r="C61" s="4" t="s">
        <v>246</v>
      </c>
      <c r="D61" s="5" t="n">
        <v>21179</v>
      </c>
      <c r="E61" s="4" t="s">
        <v>258</v>
      </c>
      <c r="F61" s="4" t="s">
        <v>253</v>
      </c>
      <c r="G61" s="4" t="s">
        <v>24</v>
      </c>
      <c r="H61" s="4" t="s">
        <v>249</v>
      </c>
      <c r="I61" s="4" t="n">
        <v>1.4</v>
      </c>
      <c r="J61" s="4" t="s">
        <v>327</v>
      </c>
    </row>
    <row r="62" customFormat="false" ht="15" hidden="false" customHeight="true" outlineLevel="0" collapsed="false">
      <c r="A62" s="4" t="s">
        <v>328</v>
      </c>
      <c r="B62" s="4" t="s">
        <v>216</v>
      </c>
      <c r="C62" s="4" t="s">
        <v>252</v>
      </c>
      <c r="D62" s="5" t="n">
        <v>24239</v>
      </c>
      <c r="E62" s="4" t="s">
        <v>265</v>
      </c>
      <c r="F62" s="4" t="s">
        <v>248</v>
      </c>
      <c r="G62" s="4" t="s">
        <v>24</v>
      </c>
      <c r="H62" s="4" t="s">
        <v>249</v>
      </c>
      <c r="I62" s="4" t="n">
        <v>0.3</v>
      </c>
      <c r="J62" s="4" t="s">
        <v>286</v>
      </c>
    </row>
    <row r="63" customFormat="false" ht="15" hidden="false" customHeight="true" outlineLevel="0" collapsed="false">
      <c r="A63" s="4" t="s">
        <v>329</v>
      </c>
      <c r="B63" s="4" t="s">
        <v>206</v>
      </c>
      <c r="C63" s="4" t="s">
        <v>255</v>
      </c>
      <c r="D63" s="5" t="n">
        <v>135898</v>
      </c>
      <c r="E63" s="4" t="s">
        <v>247</v>
      </c>
      <c r="F63" s="4" t="s">
        <v>259</v>
      </c>
      <c r="G63" s="4" t="s">
        <v>24</v>
      </c>
      <c r="H63" s="4" t="s">
        <v>249</v>
      </c>
      <c r="I63" s="4" t="n">
        <v>0.2</v>
      </c>
      <c r="J63" s="4" t="s">
        <v>297</v>
      </c>
    </row>
    <row r="64" customFormat="false" ht="15" hidden="false" customHeight="true" outlineLevel="0" collapsed="false">
      <c r="A64" s="4" t="s">
        <v>330</v>
      </c>
      <c r="B64" s="4" t="s">
        <v>163</v>
      </c>
      <c r="C64" s="4" t="s">
        <v>255</v>
      </c>
      <c r="D64" s="5" t="n">
        <v>199297</v>
      </c>
      <c r="E64" s="4" t="s">
        <v>265</v>
      </c>
      <c r="F64" s="4" t="s">
        <v>259</v>
      </c>
      <c r="G64" s="4" t="s">
        <v>24</v>
      </c>
      <c r="H64" s="4" t="s">
        <v>249</v>
      </c>
      <c r="I64" s="4" t="n">
        <v>0.4</v>
      </c>
      <c r="J64" s="4" t="s">
        <v>112</v>
      </c>
    </row>
    <row r="65" customFormat="false" ht="15" hidden="false" customHeight="true" outlineLevel="0" collapsed="false">
      <c r="A65" s="4" t="s">
        <v>331</v>
      </c>
      <c r="B65" s="4" t="s">
        <v>171</v>
      </c>
      <c r="C65" s="4" t="s">
        <v>246</v>
      </c>
      <c r="D65" s="5" t="n">
        <v>37852</v>
      </c>
      <c r="E65" s="4" t="s">
        <v>265</v>
      </c>
      <c r="F65" s="4" t="s">
        <v>259</v>
      </c>
      <c r="G65" s="4" t="s">
        <v>24</v>
      </c>
      <c r="H65" s="4" t="s">
        <v>249</v>
      </c>
      <c r="I65" s="4" t="n">
        <v>1.5</v>
      </c>
      <c r="J65" s="4" t="s">
        <v>327</v>
      </c>
    </row>
    <row r="66" customFormat="false" ht="15" hidden="false" customHeight="true" outlineLevel="0" collapsed="false">
      <c r="A66" s="4" t="s">
        <v>332</v>
      </c>
      <c r="B66" s="4" t="s">
        <v>178</v>
      </c>
      <c r="C66" s="4" t="s">
        <v>252</v>
      </c>
      <c r="D66" s="5" t="n">
        <v>88035</v>
      </c>
      <c r="E66" s="4" t="s">
        <v>258</v>
      </c>
      <c r="F66" s="4" t="s">
        <v>259</v>
      </c>
      <c r="G66" s="4" t="s">
        <v>24</v>
      </c>
      <c r="H66" s="4" t="s">
        <v>249</v>
      </c>
      <c r="I66" s="4" t="n">
        <v>0.2</v>
      </c>
      <c r="J66" s="4" t="s">
        <v>214</v>
      </c>
    </row>
    <row r="67" customFormat="false" ht="15" hidden="false" customHeight="true" outlineLevel="0" collapsed="false">
      <c r="A67" s="4" t="s">
        <v>333</v>
      </c>
      <c r="B67" s="4" t="s">
        <v>216</v>
      </c>
      <c r="C67" s="4" t="s">
        <v>267</v>
      </c>
      <c r="D67" s="5" t="n">
        <v>4070905</v>
      </c>
      <c r="E67" s="4" t="s">
        <v>247</v>
      </c>
      <c r="F67" s="4" t="s">
        <v>259</v>
      </c>
      <c r="G67" s="4" t="s">
        <v>24</v>
      </c>
      <c r="H67" s="4" t="s">
        <v>249</v>
      </c>
      <c r="I67" s="4" t="n">
        <v>1.1</v>
      </c>
      <c r="J67" s="4" t="s">
        <v>90</v>
      </c>
    </row>
    <row r="68" customFormat="false" ht="15" hidden="false" customHeight="true" outlineLevel="0" collapsed="false">
      <c r="A68" s="4" t="s">
        <v>334</v>
      </c>
      <c r="B68" s="4" t="s">
        <v>163</v>
      </c>
      <c r="C68" s="4" t="s">
        <v>252</v>
      </c>
      <c r="D68" s="5" t="n">
        <v>222836</v>
      </c>
      <c r="E68" s="4" t="s">
        <v>265</v>
      </c>
      <c r="F68" s="4" t="s">
        <v>253</v>
      </c>
      <c r="G68" s="4" t="s">
        <v>24</v>
      </c>
      <c r="H68" s="4" t="s">
        <v>249</v>
      </c>
      <c r="I68" s="4" t="n">
        <v>0.3</v>
      </c>
      <c r="J68" s="4" t="s">
        <v>65</v>
      </c>
    </row>
    <row r="69" customFormat="false" ht="15" hidden="false" customHeight="true" outlineLevel="0" collapsed="false">
      <c r="A69" s="4" t="s">
        <v>335</v>
      </c>
      <c r="B69" s="4" t="s">
        <v>87</v>
      </c>
      <c r="C69" s="4" t="s">
        <v>314</v>
      </c>
      <c r="D69" s="5" t="n">
        <v>1115858</v>
      </c>
      <c r="E69" s="4" t="s">
        <v>256</v>
      </c>
      <c r="F69" s="4" t="s">
        <v>248</v>
      </c>
      <c r="G69" s="4" t="s">
        <v>24</v>
      </c>
      <c r="H69" s="4" t="s">
        <v>63</v>
      </c>
      <c r="I69" s="4" t="n">
        <v>1.7</v>
      </c>
      <c r="J69" s="4" t="s">
        <v>22</v>
      </c>
    </row>
    <row r="70" customFormat="false" ht="15" hidden="false" customHeight="true" outlineLevel="0" collapsed="false">
      <c r="A70" s="4" t="s">
        <v>336</v>
      </c>
      <c r="B70" s="4" t="s">
        <v>117</v>
      </c>
      <c r="C70" s="4" t="s">
        <v>314</v>
      </c>
      <c r="D70" s="5" t="n">
        <v>1114803</v>
      </c>
      <c r="E70" s="4" t="s">
        <v>258</v>
      </c>
      <c r="F70" s="4" t="s">
        <v>248</v>
      </c>
      <c r="G70" s="4" t="s">
        <v>24</v>
      </c>
      <c r="H70" s="4" t="s">
        <v>249</v>
      </c>
      <c r="I70" s="4" t="n">
        <v>1.3</v>
      </c>
      <c r="J70" s="4" t="s">
        <v>38</v>
      </c>
    </row>
    <row r="71" customFormat="false" ht="15" hidden="false" customHeight="true" outlineLevel="0" collapsed="false">
      <c r="A71" s="4" t="s">
        <v>337</v>
      </c>
      <c r="B71" s="4" t="s">
        <v>175</v>
      </c>
      <c r="C71" s="4" t="s">
        <v>314</v>
      </c>
      <c r="D71" s="5" t="n">
        <v>1076850</v>
      </c>
      <c r="E71" s="4" t="s">
        <v>256</v>
      </c>
      <c r="F71" s="4" t="s">
        <v>253</v>
      </c>
      <c r="G71" s="4" t="s">
        <v>24</v>
      </c>
      <c r="H71" s="4" t="s">
        <v>249</v>
      </c>
      <c r="I71" s="4" t="n">
        <v>0.6</v>
      </c>
      <c r="J71" s="4" t="s">
        <v>297</v>
      </c>
    </row>
    <row r="72" customFormat="false" ht="15" hidden="false" customHeight="true" outlineLevel="0" collapsed="false">
      <c r="A72" s="4" t="s">
        <v>338</v>
      </c>
      <c r="B72" s="4" t="s">
        <v>206</v>
      </c>
      <c r="C72" s="4" t="s">
        <v>255</v>
      </c>
      <c r="D72" s="5" t="n">
        <v>120365</v>
      </c>
      <c r="E72" s="4" t="s">
        <v>258</v>
      </c>
      <c r="F72" s="4" t="s">
        <v>248</v>
      </c>
      <c r="G72" s="4" t="s">
        <v>24</v>
      </c>
      <c r="H72" s="4" t="s">
        <v>249</v>
      </c>
      <c r="I72" s="4" t="n">
        <v>0.4</v>
      </c>
      <c r="J72" s="4" t="s">
        <v>65</v>
      </c>
    </row>
    <row r="73" customFormat="false" ht="15" hidden="false" customHeight="true" outlineLevel="0" collapsed="false">
      <c r="A73" s="4" t="s">
        <v>339</v>
      </c>
      <c r="B73" s="4" t="s">
        <v>206</v>
      </c>
      <c r="C73" s="4" t="s">
        <v>255</v>
      </c>
      <c r="D73" s="5" t="n">
        <v>84408</v>
      </c>
      <c r="E73" s="4" t="s">
        <v>265</v>
      </c>
      <c r="F73" s="4" t="s">
        <v>259</v>
      </c>
      <c r="G73" s="4" t="s">
        <v>24</v>
      </c>
      <c r="H73" s="4" t="s">
        <v>249</v>
      </c>
      <c r="I73" s="4" t="n">
        <v>1</v>
      </c>
      <c r="J73" s="4" t="s">
        <v>261</v>
      </c>
    </row>
    <row r="74" customFormat="false" ht="15" hidden="false" customHeight="true" outlineLevel="0" collapsed="false">
      <c r="A74" s="4" t="s">
        <v>340</v>
      </c>
      <c r="B74" s="4" t="s">
        <v>216</v>
      </c>
      <c r="C74" s="4" t="s">
        <v>252</v>
      </c>
      <c r="D74" s="5" t="n">
        <v>84746</v>
      </c>
      <c r="E74" s="4" t="s">
        <v>265</v>
      </c>
      <c r="F74" s="4" t="s">
        <v>248</v>
      </c>
      <c r="G74" s="4" t="s">
        <v>24</v>
      </c>
      <c r="H74" s="4" t="s">
        <v>249</v>
      </c>
      <c r="I74" s="4" t="n">
        <v>0.9</v>
      </c>
      <c r="J74" s="4" t="s">
        <v>94</v>
      </c>
    </row>
    <row r="75" customFormat="false" ht="15" hidden="false" customHeight="true" outlineLevel="0" collapsed="false">
      <c r="A75" s="4" t="s">
        <v>341</v>
      </c>
      <c r="B75" s="4" t="s">
        <v>220</v>
      </c>
      <c r="C75" s="4" t="s">
        <v>246</v>
      </c>
      <c r="D75" s="5" t="n">
        <v>57811</v>
      </c>
      <c r="E75" s="4" t="s">
        <v>247</v>
      </c>
      <c r="F75" s="4" t="s">
        <v>259</v>
      </c>
      <c r="G75" s="4" t="s">
        <v>24</v>
      </c>
      <c r="H75" s="4" t="s">
        <v>249</v>
      </c>
      <c r="I75" s="4" t="n">
        <v>0.3</v>
      </c>
      <c r="J75" s="4" t="s">
        <v>295</v>
      </c>
    </row>
    <row r="76" customFormat="false" ht="15" hidden="false" customHeight="true" outlineLevel="0" collapsed="false">
      <c r="A76" s="4" t="s">
        <v>342</v>
      </c>
      <c r="B76" s="4" t="s">
        <v>220</v>
      </c>
      <c r="C76" s="4" t="s">
        <v>252</v>
      </c>
      <c r="D76" s="5" t="n">
        <v>85929</v>
      </c>
      <c r="E76" s="4" t="s">
        <v>247</v>
      </c>
      <c r="F76" s="4" t="s">
        <v>253</v>
      </c>
      <c r="G76" s="4" t="s">
        <v>24</v>
      </c>
      <c r="H76" s="4" t="s">
        <v>249</v>
      </c>
      <c r="I76" s="4" t="n">
        <v>1.1</v>
      </c>
      <c r="J76" s="4" t="s">
        <v>204</v>
      </c>
    </row>
    <row r="77" customFormat="false" ht="15" hidden="false" customHeight="true" outlineLevel="0" collapsed="false">
      <c r="A77" s="4" t="s">
        <v>343</v>
      </c>
      <c r="B77" s="4" t="s">
        <v>182</v>
      </c>
      <c r="C77" s="4" t="s">
        <v>246</v>
      </c>
      <c r="D77" s="5" t="n">
        <v>43165</v>
      </c>
      <c r="E77" s="4" t="s">
        <v>263</v>
      </c>
      <c r="F77" s="4" t="s">
        <v>253</v>
      </c>
      <c r="G77" s="4" t="s">
        <v>24</v>
      </c>
      <c r="H77" s="4" t="s">
        <v>249</v>
      </c>
      <c r="I77" s="4" t="n">
        <v>1.3</v>
      </c>
      <c r="J77" s="4" t="s">
        <v>286</v>
      </c>
    </row>
    <row r="78" customFormat="false" ht="15" hidden="false" customHeight="true" outlineLevel="0" collapsed="false">
      <c r="A78" s="4" t="s">
        <v>344</v>
      </c>
      <c r="B78" s="4" t="s">
        <v>154</v>
      </c>
      <c r="C78" s="4" t="s">
        <v>267</v>
      </c>
      <c r="D78" s="5" t="n">
        <v>501143</v>
      </c>
      <c r="E78" s="4" t="s">
        <v>263</v>
      </c>
      <c r="F78" s="4" t="s">
        <v>248</v>
      </c>
      <c r="G78" s="4" t="s">
        <v>24</v>
      </c>
      <c r="H78" s="4" t="s">
        <v>249</v>
      </c>
      <c r="I78" s="4" t="n">
        <v>1.4</v>
      </c>
      <c r="J78" s="4" t="s">
        <v>65</v>
      </c>
    </row>
    <row r="79" customFormat="false" ht="15" hidden="false" customHeight="true" outlineLevel="0" collapsed="false">
      <c r="A79" s="4" t="s">
        <v>345</v>
      </c>
      <c r="B79" s="4" t="s">
        <v>96</v>
      </c>
      <c r="C79" s="4" t="s">
        <v>252</v>
      </c>
      <c r="D79" s="5" t="n">
        <v>232526</v>
      </c>
      <c r="E79" s="4" t="s">
        <v>247</v>
      </c>
      <c r="F79" s="4" t="s">
        <v>259</v>
      </c>
      <c r="G79" s="4" t="s">
        <v>24</v>
      </c>
      <c r="H79" s="4" t="s">
        <v>249</v>
      </c>
      <c r="I79" s="4" t="n">
        <v>1.1</v>
      </c>
      <c r="J79" s="4" t="s">
        <v>31</v>
      </c>
    </row>
    <row r="80" customFormat="false" ht="15" hidden="false" customHeight="true" outlineLevel="0" collapsed="false">
      <c r="A80" s="4" t="s">
        <v>346</v>
      </c>
      <c r="B80" s="4" t="s">
        <v>224</v>
      </c>
      <c r="C80" s="4" t="s">
        <v>246</v>
      </c>
      <c r="D80" s="5" t="n">
        <v>42616</v>
      </c>
      <c r="E80" s="4" t="s">
        <v>247</v>
      </c>
      <c r="F80" s="4" t="s">
        <v>253</v>
      </c>
      <c r="G80" s="4" t="s">
        <v>24</v>
      </c>
      <c r="H80" s="4" t="s">
        <v>249</v>
      </c>
      <c r="I80" s="4" t="n">
        <v>0.3</v>
      </c>
      <c r="J80" s="4" t="s">
        <v>347</v>
      </c>
    </row>
    <row r="81" customFormat="false" ht="15" hidden="false" customHeight="true" outlineLevel="0" collapsed="false">
      <c r="A81" s="4" t="s">
        <v>348</v>
      </c>
      <c r="B81" s="4" t="s">
        <v>163</v>
      </c>
      <c r="C81" s="4" t="s">
        <v>255</v>
      </c>
      <c r="D81" s="5" t="n">
        <v>179729</v>
      </c>
      <c r="E81" s="4" t="s">
        <v>256</v>
      </c>
      <c r="F81" s="4" t="s">
        <v>248</v>
      </c>
      <c r="G81" s="4" t="s">
        <v>24</v>
      </c>
      <c r="H81" s="4" t="s">
        <v>249</v>
      </c>
      <c r="I81" s="4" t="n">
        <v>1.3</v>
      </c>
      <c r="J81" s="4" t="s">
        <v>71</v>
      </c>
    </row>
    <row r="82" customFormat="false" ht="15" hidden="false" customHeight="true" outlineLevel="0" collapsed="false">
      <c r="A82" s="4" t="s">
        <v>349</v>
      </c>
      <c r="B82" s="4" t="s">
        <v>178</v>
      </c>
      <c r="C82" s="4" t="s">
        <v>252</v>
      </c>
      <c r="D82" s="5" t="n">
        <v>265920</v>
      </c>
      <c r="E82" s="4" t="s">
        <v>263</v>
      </c>
      <c r="F82" s="4" t="s">
        <v>248</v>
      </c>
      <c r="G82" s="4" t="s">
        <v>24</v>
      </c>
      <c r="H82" s="4" t="s">
        <v>249</v>
      </c>
      <c r="I82" s="4" t="n">
        <v>0.5</v>
      </c>
      <c r="J82" s="4" t="s">
        <v>64</v>
      </c>
    </row>
    <row r="83" customFormat="false" ht="15" hidden="false" customHeight="true" outlineLevel="0" collapsed="false">
      <c r="A83" s="4" t="s">
        <v>350</v>
      </c>
      <c r="B83" s="4" t="s">
        <v>109</v>
      </c>
      <c r="C83" s="4" t="s">
        <v>252</v>
      </c>
      <c r="D83" s="5" t="n">
        <v>248926</v>
      </c>
      <c r="E83" s="4" t="s">
        <v>258</v>
      </c>
      <c r="F83" s="4" t="s">
        <v>259</v>
      </c>
      <c r="G83" s="4" t="s">
        <v>24</v>
      </c>
      <c r="H83" s="4" t="s">
        <v>249</v>
      </c>
      <c r="I83" s="4" t="n">
        <v>0.7</v>
      </c>
      <c r="J83" s="4" t="s">
        <v>297</v>
      </c>
    </row>
    <row r="84" customFormat="false" ht="15" hidden="false" customHeight="true" outlineLevel="0" collapsed="false">
      <c r="A84" s="4" t="s">
        <v>351</v>
      </c>
      <c r="B84" s="4" t="s">
        <v>132</v>
      </c>
      <c r="C84" s="4" t="s">
        <v>314</v>
      </c>
      <c r="D84" s="5" t="n">
        <v>677371</v>
      </c>
      <c r="E84" s="4" t="s">
        <v>265</v>
      </c>
      <c r="F84" s="4" t="s">
        <v>259</v>
      </c>
      <c r="G84" s="4" t="s">
        <v>24</v>
      </c>
      <c r="H84" s="4" t="s">
        <v>249</v>
      </c>
      <c r="I84" s="4" t="n">
        <v>0.5</v>
      </c>
      <c r="J84" s="4" t="s">
        <v>204</v>
      </c>
    </row>
    <row r="85" customFormat="false" ht="15" hidden="false" customHeight="true" outlineLevel="0" collapsed="false">
      <c r="A85" s="4" t="s">
        <v>352</v>
      </c>
      <c r="B85" s="4" t="s">
        <v>137</v>
      </c>
      <c r="C85" s="4" t="s">
        <v>267</v>
      </c>
      <c r="D85" s="5" t="n">
        <v>1094672</v>
      </c>
      <c r="E85" s="4" t="s">
        <v>256</v>
      </c>
      <c r="F85" s="4" t="s">
        <v>253</v>
      </c>
      <c r="G85" s="4" t="s">
        <v>24</v>
      </c>
      <c r="H85" s="4" t="s">
        <v>249</v>
      </c>
      <c r="I85" s="4" t="n">
        <v>1.5</v>
      </c>
      <c r="J85" s="4" t="s">
        <v>347</v>
      </c>
    </row>
    <row r="86" customFormat="false" ht="15" hidden="false" customHeight="true" outlineLevel="0" collapsed="false">
      <c r="A86" s="4" t="s">
        <v>353</v>
      </c>
      <c r="B86" s="4" t="s">
        <v>114</v>
      </c>
      <c r="C86" s="4" t="s">
        <v>246</v>
      </c>
      <c r="D86" s="5" t="n">
        <v>86375</v>
      </c>
      <c r="E86" s="4" t="s">
        <v>265</v>
      </c>
      <c r="F86" s="4" t="s">
        <v>253</v>
      </c>
      <c r="G86" s="4" t="s">
        <v>24</v>
      </c>
      <c r="H86" s="4" t="s">
        <v>249</v>
      </c>
      <c r="I86" s="4" t="n">
        <v>1.1</v>
      </c>
      <c r="J86" s="4" t="s">
        <v>214</v>
      </c>
    </row>
    <row r="87" customFormat="false" ht="15" hidden="false" customHeight="true" outlineLevel="0" collapsed="false">
      <c r="A87" s="4" t="s">
        <v>354</v>
      </c>
      <c r="B87" s="4" t="s">
        <v>201</v>
      </c>
      <c r="C87" s="4" t="s">
        <v>314</v>
      </c>
      <c r="D87" s="5" t="n">
        <v>1959702</v>
      </c>
      <c r="E87" s="4" t="s">
        <v>263</v>
      </c>
      <c r="F87" s="4" t="s">
        <v>259</v>
      </c>
      <c r="G87" s="4" t="s">
        <v>24</v>
      </c>
      <c r="H87" s="4" t="s">
        <v>63</v>
      </c>
      <c r="I87" s="4" t="n">
        <v>1.8</v>
      </c>
      <c r="J87" s="4" t="s">
        <v>327</v>
      </c>
    </row>
    <row r="88" customFormat="false" ht="15" hidden="false" customHeight="true" outlineLevel="0" collapsed="false">
      <c r="A88" s="4" t="s">
        <v>355</v>
      </c>
      <c r="B88" s="4" t="s">
        <v>206</v>
      </c>
      <c r="C88" s="4" t="s">
        <v>252</v>
      </c>
      <c r="D88" s="5" t="n">
        <v>189717</v>
      </c>
      <c r="E88" s="4" t="s">
        <v>256</v>
      </c>
      <c r="F88" s="4" t="s">
        <v>259</v>
      </c>
      <c r="G88" s="4" t="s">
        <v>24</v>
      </c>
      <c r="H88" s="4" t="s">
        <v>249</v>
      </c>
      <c r="I88" s="4" t="n">
        <v>1</v>
      </c>
      <c r="J88" s="4" t="s">
        <v>180</v>
      </c>
    </row>
    <row r="89" customFormat="false" ht="15" hidden="false" customHeight="true" outlineLevel="0" collapsed="false">
      <c r="A89" s="4" t="s">
        <v>356</v>
      </c>
      <c r="B89" s="4" t="s">
        <v>201</v>
      </c>
      <c r="C89" s="4" t="s">
        <v>252</v>
      </c>
      <c r="D89" s="5" t="n">
        <v>76711</v>
      </c>
      <c r="E89" s="4" t="s">
        <v>247</v>
      </c>
      <c r="F89" s="4" t="s">
        <v>259</v>
      </c>
      <c r="G89" s="4" t="s">
        <v>24</v>
      </c>
      <c r="H89" s="4" t="s">
        <v>249</v>
      </c>
      <c r="I89" s="4" t="n">
        <v>0.7</v>
      </c>
      <c r="J89" s="4" t="s">
        <v>89</v>
      </c>
    </row>
    <row r="90" customFormat="false" ht="15" hidden="false" customHeight="true" outlineLevel="0" collapsed="false">
      <c r="A90" s="4" t="s">
        <v>357</v>
      </c>
      <c r="B90" s="4" t="s">
        <v>175</v>
      </c>
      <c r="C90" s="4" t="s">
        <v>255</v>
      </c>
      <c r="D90" s="5" t="n">
        <v>35448</v>
      </c>
      <c r="E90" s="4" t="s">
        <v>247</v>
      </c>
      <c r="F90" s="4" t="s">
        <v>253</v>
      </c>
      <c r="G90" s="4" t="s">
        <v>24</v>
      </c>
      <c r="H90" s="4" t="s">
        <v>249</v>
      </c>
      <c r="I90" s="4" t="n">
        <v>0.3</v>
      </c>
      <c r="J90" s="4" t="s">
        <v>286</v>
      </c>
    </row>
    <row r="91" customFormat="false" ht="15" hidden="false" customHeight="true" outlineLevel="0" collapsed="false">
      <c r="A91" s="4" t="s">
        <v>358</v>
      </c>
      <c r="B91" s="4" t="s">
        <v>69</v>
      </c>
      <c r="C91" s="4" t="s">
        <v>252</v>
      </c>
      <c r="D91" s="5" t="n">
        <v>196814</v>
      </c>
      <c r="E91" s="4" t="s">
        <v>263</v>
      </c>
      <c r="F91" s="4" t="s">
        <v>259</v>
      </c>
      <c r="G91" s="4" t="s">
        <v>24</v>
      </c>
      <c r="H91" s="4" t="s">
        <v>63</v>
      </c>
      <c r="I91" s="4" t="n">
        <v>0.7</v>
      </c>
      <c r="J91" s="4" t="s">
        <v>22</v>
      </c>
    </row>
    <row r="92" customFormat="false" ht="15" hidden="false" customHeight="true" outlineLevel="0" collapsed="false">
      <c r="A92" s="4" t="s">
        <v>359</v>
      </c>
      <c r="B92" s="4" t="s">
        <v>216</v>
      </c>
      <c r="C92" s="4" t="s">
        <v>314</v>
      </c>
      <c r="D92" s="5" t="n">
        <v>1741328</v>
      </c>
      <c r="E92" s="4" t="s">
        <v>258</v>
      </c>
      <c r="F92" s="4" t="s">
        <v>259</v>
      </c>
      <c r="G92" s="4" t="s">
        <v>24</v>
      </c>
      <c r="H92" s="4" t="s">
        <v>63</v>
      </c>
      <c r="I92" s="4" t="n">
        <v>1</v>
      </c>
      <c r="J92" s="4" t="s">
        <v>144</v>
      </c>
    </row>
    <row r="93" customFormat="false" ht="15" hidden="false" customHeight="true" outlineLevel="0" collapsed="false">
      <c r="A93" s="4" t="s">
        <v>360</v>
      </c>
      <c r="B93" s="4" t="s">
        <v>40</v>
      </c>
      <c r="C93" s="4" t="s">
        <v>246</v>
      </c>
      <c r="D93" s="5" t="n">
        <v>29671</v>
      </c>
      <c r="E93" s="4" t="s">
        <v>265</v>
      </c>
      <c r="F93" s="4" t="s">
        <v>259</v>
      </c>
      <c r="G93" s="4" t="s">
        <v>24</v>
      </c>
      <c r="H93" s="4" t="s">
        <v>249</v>
      </c>
      <c r="I93" s="4" t="n">
        <v>0.7</v>
      </c>
      <c r="J93" s="4" t="s">
        <v>111</v>
      </c>
    </row>
    <row r="94" customFormat="false" ht="15" hidden="false" customHeight="true" outlineLevel="0" collapsed="false">
      <c r="A94" s="4" t="s">
        <v>361</v>
      </c>
      <c r="B94" s="4" t="s">
        <v>109</v>
      </c>
      <c r="C94" s="4" t="s">
        <v>255</v>
      </c>
      <c r="D94" s="5" t="n">
        <v>120219</v>
      </c>
      <c r="E94" s="4" t="s">
        <v>258</v>
      </c>
      <c r="F94" s="4" t="s">
        <v>259</v>
      </c>
      <c r="G94" s="4" t="s">
        <v>24</v>
      </c>
      <c r="H94" s="4" t="s">
        <v>249</v>
      </c>
      <c r="I94" s="4" t="n">
        <v>1.3</v>
      </c>
      <c r="J94" s="4" t="s">
        <v>204</v>
      </c>
    </row>
    <row r="95" customFormat="false" ht="15" hidden="false" customHeight="true" outlineLevel="0" collapsed="false">
      <c r="A95" s="4" t="s">
        <v>362</v>
      </c>
      <c r="B95" s="4" t="s">
        <v>132</v>
      </c>
      <c r="C95" s="4" t="s">
        <v>246</v>
      </c>
      <c r="D95" s="5" t="n">
        <v>30747</v>
      </c>
      <c r="E95" s="4" t="s">
        <v>265</v>
      </c>
      <c r="F95" s="4" t="s">
        <v>248</v>
      </c>
      <c r="G95" s="4" t="s">
        <v>24</v>
      </c>
      <c r="H95" s="4" t="s">
        <v>249</v>
      </c>
      <c r="I95" s="4" t="n">
        <v>1</v>
      </c>
      <c r="J95" s="4" t="s">
        <v>302</v>
      </c>
    </row>
    <row r="96" customFormat="false" ht="15" hidden="false" customHeight="true" outlineLevel="0" collapsed="false">
      <c r="A96" s="4" t="s">
        <v>363</v>
      </c>
      <c r="B96" s="4" t="s">
        <v>182</v>
      </c>
      <c r="C96" s="4" t="s">
        <v>246</v>
      </c>
      <c r="D96" s="5" t="n">
        <v>60952</v>
      </c>
      <c r="E96" s="4" t="s">
        <v>258</v>
      </c>
      <c r="F96" s="4" t="s">
        <v>259</v>
      </c>
      <c r="G96" s="4" t="s">
        <v>24</v>
      </c>
      <c r="H96" s="4" t="s">
        <v>249</v>
      </c>
      <c r="I96" s="4" t="n">
        <v>0.2</v>
      </c>
      <c r="J96" s="4" t="s">
        <v>278</v>
      </c>
    </row>
    <row r="97" customFormat="false" ht="15" hidden="false" customHeight="true" outlineLevel="0" collapsed="false">
      <c r="A97" s="4" t="s">
        <v>364</v>
      </c>
      <c r="B97" s="4" t="s">
        <v>26</v>
      </c>
      <c r="C97" s="4" t="s">
        <v>246</v>
      </c>
      <c r="D97" s="5" t="n">
        <v>64669</v>
      </c>
      <c r="E97" s="4" t="s">
        <v>247</v>
      </c>
      <c r="F97" s="4" t="s">
        <v>248</v>
      </c>
      <c r="G97" s="4" t="s">
        <v>24</v>
      </c>
      <c r="H97" s="4" t="s">
        <v>63</v>
      </c>
      <c r="I97" s="4" t="n">
        <v>0.4</v>
      </c>
      <c r="J97" s="4" t="s">
        <v>65</v>
      </c>
    </row>
    <row r="98" customFormat="false" ht="15" hidden="false" customHeight="true" outlineLevel="0" collapsed="false">
      <c r="A98" s="4" t="s">
        <v>365</v>
      </c>
      <c r="B98" s="4" t="s">
        <v>150</v>
      </c>
      <c r="C98" s="4" t="s">
        <v>255</v>
      </c>
      <c r="D98" s="5" t="n">
        <v>195809</v>
      </c>
      <c r="E98" s="4" t="s">
        <v>263</v>
      </c>
      <c r="F98" s="4" t="s">
        <v>253</v>
      </c>
      <c r="G98" s="4" t="s">
        <v>24</v>
      </c>
      <c r="H98" s="4" t="s">
        <v>63</v>
      </c>
      <c r="I98" s="4" t="n">
        <v>1.4</v>
      </c>
      <c r="J98" s="4" t="s">
        <v>90</v>
      </c>
    </row>
    <row r="99" customFormat="false" ht="15" hidden="false" customHeight="true" outlineLevel="0" collapsed="false">
      <c r="A99" s="4" t="s">
        <v>366</v>
      </c>
      <c r="B99" s="4" t="s">
        <v>216</v>
      </c>
      <c r="C99" s="4" t="s">
        <v>255</v>
      </c>
      <c r="D99" s="5" t="n">
        <v>107985</v>
      </c>
      <c r="E99" s="4" t="s">
        <v>258</v>
      </c>
      <c r="F99" s="4" t="s">
        <v>248</v>
      </c>
      <c r="G99" s="4" t="s">
        <v>24</v>
      </c>
      <c r="H99" s="4" t="s">
        <v>249</v>
      </c>
      <c r="I99" s="4" t="n">
        <v>0.7</v>
      </c>
      <c r="J99" s="4" t="s">
        <v>111</v>
      </c>
    </row>
    <row r="100" customFormat="false" ht="15" hidden="false" customHeight="true" outlineLevel="0" collapsed="false">
      <c r="A100" s="4" t="s">
        <v>367</v>
      </c>
      <c r="B100" s="4" t="s">
        <v>96</v>
      </c>
      <c r="C100" s="4" t="s">
        <v>267</v>
      </c>
      <c r="D100" s="5" t="n">
        <v>1033446</v>
      </c>
      <c r="E100" s="4" t="s">
        <v>258</v>
      </c>
      <c r="F100" s="4" t="s">
        <v>259</v>
      </c>
      <c r="G100" s="4" t="s">
        <v>24</v>
      </c>
      <c r="H100" s="4" t="s">
        <v>249</v>
      </c>
      <c r="I100" s="4" t="n">
        <v>0.5</v>
      </c>
      <c r="J100" s="4" t="s">
        <v>347</v>
      </c>
    </row>
    <row r="101" customFormat="false" ht="15" hidden="false" customHeight="true" outlineLevel="0" collapsed="false">
      <c r="A101" s="4" t="s">
        <v>368</v>
      </c>
      <c r="B101" s="4" t="s">
        <v>52</v>
      </c>
      <c r="C101" s="4" t="s">
        <v>314</v>
      </c>
      <c r="D101" s="5" t="n">
        <v>1778453</v>
      </c>
      <c r="E101" s="4" t="s">
        <v>265</v>
      </c>
      <c r="F101" s="4" t="s">
        <v>248</v>
      </c>
      <c r="G101" s="4" t="s">
        <v>24</v>
      </c>
      <c r="H101" s="4" t="s">
        <v>249</v>
      </c>
      <c r="I101" s="4" t="n">
        <v>0.9</v>
      </c>
      <c r="J101" s="4" t="s">
        <v>203</v>
      </c>
    </row>
    <row r="102" customFormat="false" ht="15" hidden="false" customHeight="true" outlineLevel="0" collapsed="false">
      <c r="A102" s="4" t="s">
        <v>369</v>
      </c>
      <c r="B102" s="4" t="s">
        <v>16</v>
      </c>
      <c r="C102" s="4" t="s">
        <v>246</v>
      </c>
      <c r="D102" s="5" t="n">
        <v>43813</v>
      </c>
      <c r="E102" s="4" t="s">
        <v>256</v>
      </c>
      <c r="F102" s="4" t="s">
        <v>248</v>
      </c>
      <c r="G102" s="4" t="s">
        <v>24</v>
      </c>
      <c r="H102" s="4" t="s">
        <v>249</v>
      </c>
      <c r="I102" s="4" t="n">
        <v>1.2</v>
      </c>
      <c r="J102" s="4" t="s">
        <v>203</v>
      </c>
    </row>
    <row r="103" customFormat="false" ht="15" hidden="false" customHeight="true" outlineLevel="0" collapsed="false">
      <c r="A103" s="4" t="s">
        <v>370</v>
      </c>
      <c r="B103" s="4" t="s">
        <v>87</v>
      </c>
      <c r="C103" s="4" t="s">
        <v>255</v>
      </c>
      <c r="D103" s="5" t="n">
        <v>62079</v>
      </c>
      <c r="E103" s="4" t="s">
        <v>258</v>
      </c>
      <c r="F103" s="4" t="s">
        <v>248</v>
      </c>
      <c r="G103" s="4" t="s">
        <v>24</v>
      </c>
      <c r="H103" s="4" t="s">
        <v>249</v>
      </c>
      <c r="I103" s="4" t="n">
        <v>1.5</v>
      </c>
      <c r="J103" s="4" t="s">
        <v>214</v>
      </c>
    </row>
    <row r="104" customFormat="false" ht="15" hidden="false" customHeight="true" outlineLevel="0" collapsed="false">
      <c r="A104" s="4" t="s">
        <v>371</v>
      </c>
      <c r="B104" s="4" t="s">
        <v>69</v>
      </c>
      <c r="C104" s="4" t="s">
        <v>255</v>
      </c>
      <c r="D104" s="5" t="n">
        <v>46743</v>
      </c>
      <c r="E104" s="4" t="s">
        <v>247</v>
      </c>
      <c r="F104" s="4" t="s">
        <v>259</v>
      </c>
      <c r="G104" s="4" t="s">
        <v>24</v>
      </c>
      <c r="H104" s="4" t="s">
        <v>249</v>
      </c>
      <c r="I104" s="4" t="n">
        <v>0.6</v>
      </c>
      <c r="J104" s="4" t="s">
        <v>76</v>
      </c>
    </row>
    <row r="105" customFormat="false" ht="15" hidden="false" customHeight="true" outlineLevel="0" collapsed="false">
      <c r="A105" s="4" t="s">
        <v>372</v>
      </c>
      <c r="B105" s="4" t="s">
        <v>212</v>
      </c>
      <c r="C105" s="4" t="s">
        <v>246</v>
      </c>
      <c r="D105" s="5" t="n">
        <v>42537</v>
      </c>
      <c r="E105" s="4" t="s">
        <v>247</v>
      </c>
      <c r="F105" s="4" t="s">
        <v>248</v>
      </c>
      <c r="G105" s="4" t="s">
        <v>24</v>
      </c>
      <c r="H105" s="4" t="s">
        <v>249</v>
      </c>
      <c r="I105" s="4" t="n">
        <v>1.1</v>
      </c>
      <c r="J105" s="4" t="s">
        <v>204</v>
      </c>
    </row>
    <row r="106" customFormat="false" ht="15" hidden="false" customHeight="true" outlineLevel="0" collapsed="false">
      <c r="A106" s="4" t="s">
        <v>373</v>
      </c>
      <c r="B106" s="4" t="s">
        <v>163</v>
      </c>
      <c r="C106" s="4" t="s">
        <v>246</v>
      </c>
      <c r="D106" s="5" t="n">
        <v>8430</v>
      </c>
      <c r="E106" s="4" t="s">
        <v>265</v>
      </c>
      <c r="F106" s="4" t="s">
        <v>253</v>
      </c>
      <c r="G106" s="4" t="s">
        <v>24</v>
      </c>
      <c r="H106" s="4" t="s">
        <v>249</v>
      </c>
      <c r="I106" s="4" t="n">
        <v>0.3</v>
      </c>
      <c r="J106" s="4" t="s">
        <v>111</v>
      </c>
    </row>
    <row r="107" customFormat="false" ht="15" hidden="false" customHeight="true" outlineLevel="0" collapsed="false">
      <c r="A107" s="4" t="s">
        <v>374</v>
      </c>
      <c r="B107" s="4" t="s">
        <v>163</v>
      </c>
      <c r="C107" s="4" t="s">
        <v>246</v>
      </c>
      <c r="D107" s="5" t="n">
        <v>80723</v>
      </c>
      <c r="E107" s="4" t="s">
        <v>247</v>
      </c>
      <c r="F107" s="4" t="s">
        <v>259</v>
      </c>
      <c r="G107" s="4" t="s">
        <v>24</v>
      </c>
      <c r="H107" s="4" t="s">
        <v>249</v>
      </c>
      <c r="I107" s="4" t="n">
        <v>1</v>
      </c>
      <c r="J107" s="4" t="s">
        <v>305</v>
      </c>
    </row>
    <row r="108" customFormat="false" ht="15" hidden="false" customHeight="true" outlineLevel="0" collapsed="false">
      <c r="A108" s="4" t="s">
        <v>375</v>
      </c>
      <c r="B108" s="4" t="s">
        <v>16</v>
      </c>
      <c r="C108" s="4" t="s">
        <v>246</v>
      </c>
      <c r="D108" s="5" t="n">
        <v>62881</v>
      </c>
      <c r="E108" s="4" t="s">
        <v>265</v>
      </c>
      <c r="F108" s="4" t="s">
        <v>253</v>
      </c>
      <c r="G108" s="4" t="s">
        <v>24</v>
      </c>
      <c r="H108" s="4" t="s">
        <v>249</v>
      </c>
      <c r="I108" s="4" t="n">
        <v>1.4</v>
      </c>
      <c r="J108" s="4" t="s">
        <v>31</v>
      </c>
    </row>
    <row r="109" customFormat="false" ht="15" hidden="false" customHeight="true" outlineLevel="0" collapsed="false">
      <c r="A109" s="4" t="s">
        <v>376</v>
      </c>
      <c r="B109" s="4" t="s">
        <v>40</v>
      </c>
      <c r="C109" s="4" t="s">
        <v>267</v>
      </c>
      <c r="D109" s="5" t="n">
        <v>2902069</v>
      </c>
      <c r="E109" s="4" t="s">
        <v>263</v>
      </c>
      <c r="F109" s="4" t="s">
        <v>248</v>
      </c>
      <c r="G109" s="4" t="s">
        <v>24</v>
      </c>
      <c r="H109" s="4" t="s">
        <v>249</v>
      </c>
      <c r="I109" s="4" t="n">
        <v>1</v>
      </c>
      <c r="J109" s="4" t="s">
        <v>100</v>
      </c>
    </row>
    <row r="110" customFormat="false" ht="15" hidden="false" customHeight="true" outlineLevel="0" collapsed="false">
      <c r="A110" s="4" t="s">
        <v>377</v>
      </c>
      <c r="B110" s="4" t="s">
        <v>175</v>
      </c>
      <c r="C110" s="4" t="s">
        <v>255</v>
      </c>
      <c r="D110" s="5" t="n">
        <v>86245</v>
      </c>
      <c r="E110" s="4" t="s">
        <v>265</v>
      </c>
      <c r="F110" s="4" t="s">
        <v>259</v>
      </c>
      <c r="G110" s="4" t="s">
        <v>24</v>
      </c>
      <c r="H110" s="4" t="s">
        <v>249</v>
      </c>
      <c r="I110" s="4" t="n">
        <v>0.8</v>
      </c>
      <c r="J110" s="4" t="s">
        <v>305</v>
      </c>
    </row>
    <row r="111" customFormat="false" ht="15" hidden="false" customHeight="true" outlineLevel="0" collapsed="false">
      <c r="A111" s="4" t="s">
        <v>378</v>
      </c>
      <c r="B111" s="4" t="s">
        <v>146</v>
      </c>
      <c r="C111" s="4" t="s">
        <v>246</v>
      </c>
      <c r="D111" s="5" t="n">
        <v>92083</v>
      </c>
      <c r="E111" s="4" t="s">
        <v>247</v>
      </c>
      <c r="F111" s="4" t="s">
        <v>259</v>
      </c>
      <c r="G111" s="4" t="s">
        <v>24</v>
      </c>
      <c r="H111" s="4" t="s">
        <v>249</v>
      </c>
      <c r="I111" s="4" t="n">
        <v>0.4</v>
      </c>
      <c r="J111" s="4" t="s">
        <v>302</v>
      </c>
    </row>
    <row r="112" customFormat="false" ht="15" hidden="false" customHeight="true" outlineLevel="0" collapsed="false">
      <c r="A112" s="4" t="s">
        <v>379</v>
      </c>
      <c r="B112" s="4" t="s">
        <v>150</v>
      </c>
      <c r="C112" s="4" t="s">
        <v>267</v>
      </c>
      <c r="D112" s="5" t="n">
        <v>3671319</v>
      </c>
      <c r="E112" s="4" t="s">
        <v>258</v>
      </c>
      <c r="F112" s="4" t="s">
        <v>253</v>
      </c>
      <c r="G112" s="4" t="s">
        <v>24</v>
      </c>
      <c r="H112" s="4" t="s">
        <v>249</v>
      </c>
      <c r="I112" s="4" t="n">
        <v>0.2</v>
      </c>
      <c r="J112" s="4" t="s">
        <v>173</v>
      </c>
    </row>
    <row r="113" customFormat="false" ht="15" hidden="false" customHeight="true" outlineLevel="0" collapsed="false">
      <c r="A113" s="4" t="s">
        <v>380</v>
      </c>
      <c r="B113" s="4" t="s">
        <v>146</v>
      </c>
      <c r="C113" s="4" t="s">
        <v>246</v>
      </c>
      <c r="D113" s="5" t="n">
        <v>33508</v>
      </c>
      <c r="E113" s="4" t="s">
        <v>258</v>
      </c>
      <c r="F113" s="4" t="s">
        <v>248</v>
      </c>
      <c r="G113" s="4" t="s">
        <v>24</v>
      </c>
      <c r="H113" s="4" t="s">
        <v>249</v>
      </c>
      <c r="I113" s="4" t="n">
        <v>1.3</v>
      </c>
      <c r="J113" s="4" t="s">
        <v>274</v>
      </c>
    </row>
    <row r="114" customFormat="false" ht="15" hidden="false" customHeight="true" outlineLevel="0" collapsed="false">
      <c r="A114" s="4" t="s">
        <v>381</v>
      </c>
      <c r="B114" s="4" t="s">
        <v>40</v>
      </c>
      <c r="C114" s="4" t="s">
        <v>255</v>
      </c>
      <c r="D114" s="5" t="n">
        <v>196189</v>
      </c>
      <c r="E114" s="4" t="s">
        <v>258</v>
      </c>
      <c r="F114" s="4" t="s">
        <v>248</v>
      </c>
      <c r="G114" s="4" t="s">
        <v>24</v>
      </c>
      <c r="H114" s="4" t="s">
        <v>249</v>
      </c>
      <c r="I114" s="4" t="n">
        <v>1.4</v>
      </c>
      <c r="J114" s="4" t="s">
        <v>302</v>
      </c>
    </row>
    <row r="115" customFormat="false" ht="15" hidden="false" customHeight="true" outlineLevel="0" collapsed="false">
      <c r="A115" s="4" t="s">
        <v>382</v>
      </c>
      <c r="B115" s="4" t="s">
        <v>171</v>
      </c>
      <c r="C115" s="4" t="s">
        <v>246</v>
      </c>
      <c r="D115" s="5" t="n">
        <v>16121</v>
      </c>
      <c r="E115" s="4" t="s">
        <v>265</v>
      </c>
      <c r="F115" s="4" t="s">
        <v>253</v>
      </c>
      <c r="G115" s="4" t="s">
        <v>24</v>
      </c>
      <c r="H115" s="4" t="s">
        <v>63</v>
      </c>
      <c r="I115" s="4" t="n">
        <v>1.5</v>
      </c>
      <c r="J115" s="4" t="s">
        <v>250</v>
      </c>
    </row>
    <row r="116" customFormat="false" ht="15" hidden="false" customHeight="true" outlineLevel="0" collapsed="false">
      <c r="A116" s="4" t="s">
        <v>383</v>
      </c>
      <c r="B116" s="4" t="s">
        <v>114</v>
      </c>
      <c r="C116" s="4" t="s">
        <v>252</v>
      </c>
      <c r="D116" s="5" t="n">
        <v>189363</v>
      </c>
      <c r="E116" s="4" t="s">
        <v>247</v>
      </c>
      <c r="F116" s="4" t="s">
        <v>259</v>
      </c>
      <c r="G116" s="4" t="s">
        <v>24</v>
      </c>
      <c r="H116" s="4" t="s">
        <v>249</v>
      </c>
      <c r="I116" s="4" t="n">
        <v>1</v>
      </c>
      <c r="J116" s="4" t="s">
        <v>222</v>
      </c>
    </row>
    <row r="117" customFormat="false" ht="15" hidden="false" customHeight="true" outlineLevel="0" collapsed="false">
      <c r="A117" s="4" t="s">
        <v>384</v>
      </c>
      <c r="B117" s="4" t="s">
        <v>96</v>
      </c>
      <c r="C117" s="4" t="s">
        <v>267</v>
      </c>
      <c r="D117" s="5" t="n">
        <v>3136969</v>
      </c>
      <c r="E117" s="4" t="s">
        <v>263</v>
      </c>
      <c r="F117" s="4" t="s">
        <v>253</v>
      </c>
      <c r="G117" s="4" t="s">
        <v>24</v>
      </c>
      <c r="H117" s="4" t="s">
        <v>63</v>
      </c>
      <c r="I117" s="4" t="n">
        <v>1.2</v>
      </c>
      <c r="J117" s="4" t="s">
        <v>135</v>
      </c>
    </row>
    <row r="118" customFormat="false" ht="15" hidden="false" customHeight="true" outlineLevel="0" collapsed="false">
      <c r="A118" s="4" t="s">
        <v>385</v>
      </c>
      <c r="B118" s="4" t="s">
        <v>212</v>
      </c>
      <c r="C118" s="4" t="s">
        <v>255</v>
      </c>
      <c r="D118" s="5" t="n">
        <v>148053</v>
      </c>
      <c r="E118" s="4" t="s">
        <v>263</v>
      </c>
      <c r="F118" s="4" t="s">
        <v>259</v>
      </c>
      <c r="G118" s="4" t="s">
        <v>24</v>
      </c>
      <c r="H118" s="4" t="s">
        <v>249</v>
      </c>
      <c r="I118" s="4" t="n">
        <v>1.4</v>
      </c>
      <c r="J118" s="4" t="s">
        <v>302</v>
      </c>
    </row>
    <row r="119" customFormat="false" ht="15" hidden="false" customHeight="true" outlineLevel="0" collapsed="false">
      <c r="A119" s="4" t="s">
        <v>386</v>
      </c>
      <c r="B119" s="4" t="s">
        <v>216</v>
      </c>
      <c r="C119" s="4" t="s">
        <v>252</v>
      </c>
      <c r="D119" s="5" t="n">
        <v>20179</v>
      </c>
      <c r="E119" s="4" t="s">
        <v>256</v>
      </c>
      <c r="F119" s="4" t="s">
        <v>253</v>
      </c>
      <c r="G119" s="4" t="s">
        <v>36</v>
      </c>
      <c r="H119" s="4" t="s">
        <v>36</v>
      </c>
      <c r="I119" s="4"/>
      <c r="J119" s="4" t="s">
        <v>23</v>
      </c>
    </row>
    <row r="120" customFormat="false" ht="15" hidden="false" customHeight="true" outlineLevel="0" collapsed="false">
      <c r="A120" s="4" t="s">
        <v>387</v>
      </c>
      <c r="B120" s="4" t="s">
        <v>132</v>
      </c>
      <c r="C120" s="4" t="s">
        <v>246</v>
      </c>
      <c r="D120" s="5" t="n">
        <v>18876</v>
      </c>
      <c r="E120" s="4" t="s">
        <v>263</v>
      </c>
      <c r="F120" s="4" t="s">
        <v>259</v>
      </c>
      <c r="G120" s="4" t="s">
        <v>24</v>
      </c>
      <c r="H120" s="4" t="s">
        <v>249</v>
      </c>
      <c r="I120" s="4" t="n">
        <v>1.1</v>
      </c>
      <c r="J120" s="4" t="s">
        <v>173</v>
      </c>
    </row>
    <row r="121" customFormat="false" ht="15" hidden="false" customHeight="true" outlineLevel="0" collapsed="false">
      <c r="A121" s="4" t="s">
        <v>388</v>
      </c>
      <c r="B121" s="4" t="s">
        <v>16</v>
      </c>
      <c r="C121" s="4" t="s">
        <v>246</v>
      </c>
      <c r="D121" s="5" t="n">
        <v>69631</v>
      </c>
      <c r="E121" s="4" t="s">
        <v>256</v>
      </c>
      <c r="F121" s="4" t="s">
        <v>253</v>
      </c>
      <c r="G121" s="4" t="s">
        <v>24</v>
      </c>
      <c r="H121" s="4" t="s">
        <v>249</v>
      </c>
      <c r="I121" s="4" t="n">
        <v>0.3</v>
      </c>
      <c r="J121" s="4" t="s">
        <v>278</v>
      </c>
    </row>
    <row r="122" customFormat="false" ht="15" hidden="false" customHeight="true" outlineLevel="0" collapsed="false">
      <c r="A122" s="4" t="s">
        <v>389</v>
      </c>
      <c r="B122" s="4" t="s">
        <v>114</v>
      </c>
      <c r="C122" s="4" t="s">
        <v>252</v>
      </c>
      <c r="D122" s="5" t="n">
        <v>49541</v>
      </c>
      <c r="E122" s="4" t="s">
        <v>247</v>
      </c>
      <c r="F122" s="4" t="s">
        <v>248</v>
      </c>
      <c r="G122" s="4" t="s">
        <v>24</v>
      </c>
      <c r="H122" s="4" t="s">
        <v>249</v>
      </c>
      <c r="I122" s="4" t="n">
        <v>0.2</v>
      </c>
      <c r="J122" s="4" t="s">
        <v>59</v>
      </c>
    </row>
    <row r="123" customFormat="false" ht="15" hidden="false" customHeight="true" outlineLevel="0" collapsed="false">
      <c r="A123" s="4" t="s">
        <v>390</v>
      </c>
      <c r="B123" s="4" t="s">
        <v>40</v>
      </c>
      <c r="C123" s="4" t="s">
        <v>246</v>
      </c>
      <c r="D123" s="5" t="n">
        <v>86861</v>
      </c>
      <c r="E123" s="4" t="s">
        <v>265</v>
      </c>
      <c r="F123" s="4" t="s">
        <v>253</v>
      </c>
      <c r="G123" s="4" t="s">
        <v>24</v>
      </c>
      <c r="H123" s="4" t="s">
        <v>249</v>
      </c>
      <c r="I123" s="4" t="n">
        <v>0.4</v>
      </c>
      <c r="J123" s="4" t="s">
        <v>112</v>
      </c>
    </row>
  </sheetData>
  <conditionalFormatting sqref="H4:H123">
    <cfRule type="cellIs" priority="2" operator="equal" aboveAverage="0" equalAverage="0" bottom="0" percent="0" rank="0" text="" dxfId="6">
      <formula>"Success"</formula>
    </cfRule>
    <cfRule type="cellIs" priority="3" operator="equal" aboveAverage="0" equalAverage="0" bottom="0" percent="0" rank="0" text="" dxfId="7">
      <formula>"Failed"</formula>
    </cfRule>
    <cfRule type="cellIs" priority="4" operator="equal" aboveAverage="0" equalAverage="0" bottom="0" percent="0" rank="0" text="" dxfId="8">
      <formula>"Pending"</formula>
    </cfRule>
    <cfRule type="cellIs" priority="5" operator="equal" aboveAverage="0" equalAverage="0" bottom="0" percent="0" rank="0" text="" dxfId="10">
      <formula>"Reversed"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42"/>
    <col collapsed="false" customWidth="true" hidden="false" outlineLevel="0" max="6" min="5" style="1" width="17"/>
    <col collapsed="false" customWidth="true" hidden="false" outlineLevel="0" max="7" min="7" style="1" width="19"/>
    <col collapsed="false" customWidth="true" hidden="false" outlineLevel="0" max="8" min="8" style="1" width="15"/>
  </cols>
  <sheetData>
    <row r="1" customFormat="false" ht="15.75" hidden="false" customHeight="true" outlineLevel="0" collapsed="false">
      <c r="A1" s="2" t="s">
        <v>391</v>
      </c>
    </row>
    <row r="3" customFormat="false" ht="23.25" hidden="false" customHeight="true" outlineLevel="0" collapsed="false">
      <c r="A3" s="3" t="s">
        <v>392</v>
      </c>
      <c r="B3" s="3" t="s">
        <v>393</v>
      </c>
      <c r="C3" s="3" t="s">
        <v>394</v>
      </c>
      <c r="D3" s="3" t="s">
        <v>395</v>
      </c>
      <c r="E3" s="3" t="s">
        <v>396</v>
      </c>
      <c r="F3" s="3" t="s">
        <v>397</v>
      </c>
      <c r="G3" s="3" t="s">
        <v>398</v>
      </c>
      <c r="H3" s="3" t="s">
        <v>399</v>
      </c>
    </row>
    <row r="4" customFormat="false" ht="15" hidden="false" customHeight="true" outlineLevel="0" collapsed="false">
      <c r="A4" s="4" t="s">
        <v>400</v>
      </c>
      <c r="B4" s="4" t="s">
        <v>312</v>
      </c>
      <c r="C4" s="4" t="s">
        <v>401</v>
      </c>
      <c r="D4" s="4" t="s">
        <v>402</v>
      </c>
      <c r="E4" s="4" t="s">
        <v>403</v>
      </c>
      <c r="F4" s="4" t="s">
        <v>404</v>
      </c>
      <c r="G4" s="4"/>
      <c r="H4" s="4" t="s">
        <v>36</v>
      </c>
    </row>
    <row r="5" customFormat="false" ht="15" hidden="false" customHeight="true" outlineLevel="0" collapsed="false">
      <c r="A5" s="4" t="s">
        <v>405</v>
      </c>
      <c r="B5" s="4" t="s">
        <v>292</v>
      </c>
      <c r="C5" s="4" t="s">
        <v>406</v>
      </c>
      <c r="D5" s="4" t="s">
        <v>407</v>
      </c>
      <c r="E5" s="4" t="s">
        <v>408</v>
      </c>
      <c r="F5" s="4" t="s">
        <v>409</v>
      </c>
      <c r="G5" s="4"/>
      <c r="H5" s="4" t="s">
        <v>36</v>
      </c>
    </row>
    <row r="6" customFormat="false" ht="15" hidden="false" customHeight="true" outlineLevel="0" collapsed="false">
      <c r="A6" s="4" t="s">
        <v>410</v>
      </c>
      <c r="B6" s="4" t="s">
        <v>311</v>
      </c>
      <c r="C6" s="4" t="s">
        <v>401</v>
      </c>
      <c r="D6" s="4" t="s">
        <v>402</v>
      </c>
      <c r="E6" s="4" t="s">
        <v>403</v>
      </c>
      <c r="F6" s="4" t="s">
        <v>404</v>
      </c>
      <c r="G6" s="4" t="n">
        <v>0.5</v>
      </c>
      <c r="H6" s="4" t="s">
        <v>411</v>
      </c>
    </row>
    <row r="7" customFormat="false" ht="15" hidden="false" customHeight="true" outlineLevel="0" collapsed="false">
      <c r="A7" s="4" t="s">
        <v>412</v>
      </c>
      <c r="B7" s="4" t="s">
        <v>354</v>
      </c>
      <c r="C7" s="4" t="s">
        <v>413</v>
      </c>
      <c r="D7" s="4" t="s">
        <v>414</v>
      </c>
      <c r="E7" s="4" t="s">
        <v>415</v>
      </c>
      <c r="F7" s="4" t="s">
        <v>409</v>
      </c>
      <c r="G7" s="4" t="n">
        <v>1.8</v>
      </c>
      <c r="H7" s="4" t="s">
        <v>411</v>
      </c>
    </row>
    <row r="8" customFormat="false" ht="15" hidden="false" customHeight="true" outlineLevel="0" collapsed="false">
      <c r="A8" s="4" t="s">
        <v>416</v>
      </c>
      <c r="B8" s="4" t="s">
        <v>382</v>
      </c>
      <c r="C8" s="4" t="s">
        <v>406</v>
      </c>
      <c r="D8" s="4" t="s">
        <v>407</v>
      </c>
      <c r="E8" s="4" t="s">
        <v>408</v>
      </c>
      <c r="F8" s="4" t="s">
        <v>409</v>
      </c>
      <c r="G8" s="4" t="n">
        <v>3.4</v>
      </c>
      <c r="H8" s="4" t="s">
        <v>411</v>
      </c>
    </row>
    <row r="9" customFormat="false" ht="15" hidden="false" customHeight="true" outlineLevel="0" collapsed="false">
      <c r="A9" s="4" t="s">
        <v>417</v>
      </c>
      <c r="B9" s="4" t="s">
        <v>364</v>
      </c>
      <c r="C9" s="4" t="s">
        <v>401</v>
      </c>
      <c r="D9" s="4" t="s">
        <v>402</v>
      </c>
      <c r="E9" s="4" t="s">
        <v>403</v>
      </c>
      <c r="F9" s="4" t="s">
        <v>404</v>
      </c>
      <c r="G9" s="4" t="n">
        <v>3.5</v>
      </c>
      <c r="H9" s="4" t="s">
        <v>411</v>
      </c>
    </row>
    <row r="10" customFormat="false" ht="15" hidden="false" customHeight="true" outlineLevel="0" collapsed="false">
      <c r="A10" s="4" t="s">
        <v>418</v>
      </c>
      <c r="B10" s="4" t="s">
        <v>282</v>
      </c>
      <c r="C10" s="4" t="s">
        <v>419</v>
      </c>
      <c r="D10" s="4" t="s">
        <v>420</v>
      </c>
      <c r="E10" s="4" t="s">
        <v>421</v>
      </c>
      <c r="F10" s="4" t="s">
        <v>409</v>
      </c>
      <c r="G10" s="4" t="n">
        <v>2.1</v>
      </c>
      <c r="H10" s="4" t="s">
        <v>411</v>
      </c>
    </row>
    <row r="11" customFormat="false" ht="15" hidden="false" customHeight="true" outlineLevel="0" collapsed="false">
      <c r="A11" s="4" t="s">
        <v>422</v>
      </c>
      <c r="B11" s="4" t="s">
        <v>279</v>
      </c>
      <c r="C11" s="4" t="s">
        <v>423</v>
      </c>
      <c r="D11" s="4" t="s">
        <v>424</v>
      </c>
      <c r="E11" s="4" t="s">
        <v>408</v>
      </c>
      <c r="F11" s="4" t="s">
        <v>409</v>
      </c>
      <c r="G11" s="4"/>
      <c r="H11" s="4" t="s">
        <v>36</v>
      </c>
    </row>
    <row r="12" customFormat="false" ht="15" hidden="false" customHeight="true" outlineLevel="0" collapsed="false">
      <c r="A12" s="4" t="s">
        <v>425</v>
      </c>
      <c r="B12" s="4" t="s">
        <v>359</v>
      </c>
      <c r="C12" s="4" t="s">
        <v>426</v>
      </c>
      <c r="D12" s="4" t="s">
        <v>427</v>
      </c>
      <c r="E12" s="4" t="s">
        <v>415</v>
      </c>
      <c r="F12" s="4" t="s">
        <v>409</v>
      </c>
      <c r="G12" s="4" t="n">
        <v>1.9</v>
      </c>
      <c r="H12" s="4" t="s">
        <v>411</v>
      </c>
    </row>
    <row r="13" customFormat="false" ht="15" hidden="false" customHeight="true" outlineLevel="0" collapsed="false">
      <c r="A13" s="4" t="s">
        <v>428</v>
      </c>
      <c r="B13" s="4" t="s">
        <v>318</v>
      </c>
      <c r="C13" s="4" t="s">
        <v>429</v>
      </c>
      <c r="D13" s="4" t="s">
        <v>430</v>
      </c>
      <c r="E13" s="4" t="s">
        <v>403</v>
      </c>
      <c r="F13" s="4" t="s">
        <v>404</v>
      </c>
      <c r="G13" s="4" t="n">
        <v>0.9</v>
      </c>
      <c r="H13" s="4" t="s">
        <v>411</v>
      </c>
    </row>
    <row r="14" customFormat="false" ht="15" hidden="false" customHeight="true" outlineLevel="0" collapsed="false">
      <c r="A14" s="4" t="s">
        <v>431</v>
      </c>
      <c r="B14" s="4" t="s">
        <v>313</v>
      </c>
      <c r="C14" s="4" t="s">
        <v>423</v>
      </c>
      <c r="D14" s="4" t="s">
        <v>424</v>
      </c>
      <c r="E14" s="4" t="s">
        <v>408</v>
      </c>
      <c r="F14" s="4" t="s">
        <v>409</v>
      </c>
      <c r="G14" s="4"/>
      <c r="H14" s="4" t="s">
        <v>36</v>
      </c>
    </row>
    <row r="15" customFormat="false" ht="15" hidden="false" customHeight="true" outlineLevel="0" collapsed="false">
      <c r="A15" s="4" t="s">
        <v>432</v>
      </c>
      <c r="B15" s="4" t="s">
        <v>322</v>
      </c>
      <c r="C15" s="4" t="s">
        <v>406</v>
      </c>
      <c r="D15" s="4" t="s">
        <v>407</v>
      </c>
      <c r="E15" s="4" t="s">
        <v>408</v>
      </c>
      <c r="F15" s="4" t="s">
        <v>409</v>
      </c>
      <c r="G15" s="4"/>
      <c r="H15" s="4" t="s">
        <v>36</v>
      </c>
    </row>
    <row r="16" customFormat="false" ht="15" hidden="false" customHeight="true" outlineLevel="0" collapsed="false">
      <c r="A16" s="4" t="s">
        <v>433</v>
      </c>
      <c r="B16" s="4" t="s">
        <v>386</v>
      </c>
      <c r="C16" s="4" t="s">
        <v>429</v>
      </c>
      <c r="D16" s="4" t="s">
        <v>430</v>
      </c>
      <c r="E16" s="4" t="s">
        <v>403</v>
      </c>
      <c r="F16" s="4" t="s">
        <v>404</v>
      </c>
      <c r="G16" s="4" t="n">
        <v>2.9</v>
      </c>
      <c r="H16" s="4" t="s">
        <v>411</v>
      </c>
    </row>
    <row r="17" customFormat="false" ht="15" hidden="false" customHeight="true" outlineLevel="0" collapsed="false">
      <c r="A17" s="4" t="s">
        <v>434</v>
      </c>
      <c r="B17" s="4" t="s">
        <v>323</v>
      </c>
      <c r="C17" s="4" t="s">
        <v>435</v>
      </c>
      <c r="D17" s="4" t="s">
        <v>436</v>
      </c>
      <c r="E17" s="4" t="s">
        <v>421</v>
      </c>
      <c r="F17" s="4" t="s">
        <v>409</v>
      </c>
      <c r="G17" s="4" t="n">
        <v>3.5</v>
      </c>
      <c r="H17" s="4" t="s">
        <v>411</v>
      </c>
    </row>
    <row r="18" customFormat="false" ht="15" hidden="false" customHeight="true" outlineLevel="0" collapsed="false">
      <c r="A18" s="4" t="s">
        <v>437</v>
      </c>
      <c r="B18" s="4" t="s">
        <v>308</v>
      </c>
      <c r="C18" s="4" t="s">
        <v>406</v>
      </c>
      <c r="D18" s="4" t="s">
        <v>407</v>
      </c>
      <c r="E18" s="4" t="s">
        <v>408</v>
      </c>
      <c r="F18" s="4" t="s">
        <v>409</v>
      </c>
      <c r="G18" s="4" t="n">
        <v>1.9</v>
      </c>
      <c r="H18" s="4" t="s">
        <v>411</v>
      </c>
    </row>
    <row r="19" customFormat="false" ht="15" hidden="false" customHeight="true" outlineLevel="0" collapsed="false">
      <c r="A19" s="4" t="s">
        <v>438</v>
      </c>
      <c r="B19" s="4" t="s">
        <v>384</v>
      </c>
      <c r="C19" s="4" t="s">
        <v>423</v>
      </c>
      <c r="D19" s="4" t="s">
        <v>424</v>
      </c>
      <c r="E19" s="4" t="s">
        <v>408</v>
      </c>
      <c r="F19" s="4" t="s">
        <v>409</v>
      </c>
      <c r="G19" s="4" t="n">
        <v>1.6</v>
      </c>
      <c r="H19" s="4" t="s">
        <v>411</v>
      </c>
    </row>
    <row r="20" customFormat="false" ht="15" hidden="false" customHeight="true" outlineLevel="0" collapsed="false">
      <c r="A20" s="4" t="s">
        <v>439</v>
      </c>
      <c r="B20" s="4" t="s">
        <v>358</v>
      </c>
      <c r="C20" s="4" t="s">
        <v>401</v>
      </c>
      <c r="D20" s="4" t="s">
        <v>402</v>
      </c>
      <c r="E20" s="4" t="s">
        <v>403</v>
      </c>
      <c r="F20" s="4" t="s">
        <v>404</v>
      </c>
      <c r="G20" s="4" t="n">
        <v>3.2</v>
      </c>
      <c r="H20" s="4" t="s">
        <v>411</v>
      </c>
    </row>
    <row r="21" customFormat="false" ht="15" hidden="false" customHeight="true" outlineLevel="0" collapsed="false">
      <c r="A21" s="4" t="s">
        <v>440</v>
      </c>
      <c r="B21" s="4" t="s">
        <v>335</v>
      </c>
      <c r="C21" s="4" t="s">
        <v>423</v>
      </c>
      <c r="D21" s="4" t="s">
        <v>424</v>
      </c>
      <c r="E21" s="4" t="s">
        <v>408</v>
      </c>
      <c r="F21" s="4" t="s">
        <v>409</v>
      </c>
      <c r="G21" s="4" t="n">
        <v>0.9</v>
      </c>
      <c r="H21" s="4" t="s">
        <v>411</v>
      </c>
    </row>
    <row r="22" customFormat="false" ht="15" hidden="false" customHeight="true" outlineLevel="0" collapsed="false">
      <c r="A22" s="4" t="s">
        <v>441</v>
      </c>
      <c r="B22" s="4" t="s">
        <v>296</v>
      </c>
      <c r="C22" s="4" t="s">
        <v>426</v>
      </c>
      <c r="D22" s="4" t="s">
        <v>427</v>
      </c>
      <c r="E22" s="4" t="s">
        <v>415</v>
      </c>
      <c r="F22" s="4" t="s">
        <v>409</v>
      </c>
      <c r="G22" s="4" t="n">
        <v>3.2</v>
      </c>
      <c r="H22" s="4" t="s">
        <v>411</v>
      </c>
    </row>
    <row r="23" customFormat="false" ht="15" hidden="false" customHeight="true" outlineLevel="0" collapsed="false">
      <c r="A23" s="4" t="s">
        <v>442</v>
      </c>
      <c r="B23" s="4" t="s">
        <v>365</v>
      </c>
      <c r="C23" s="4" t="s">
        <v>401</v>
      </c>
      <c r="D23" s="4" t="s">
        <v>402</v>
      </c>
      <c r="E23" s="4" t="s">
        <v>403</v>
      </c>
      <c r="F23" s="4" t="s">
        <v>404</v>
      </c>
      <c r="G23" s="4" t="n">
        <v>3.4</v>
      </c>
      <c r="H23" s="4" t="s">
        <v>411</v>
      </c>
    </row>
  </sheetData>
  <conditionalFormatting sqref="H4:H23">
    <cfRule type="cellIs" priority="2" operator="equal" aboveAverage="0" equalAverage="0" bottom="0" percent="0" rank="0" text="" dxfId="6">
      <formula>"Resolved"</formula>
    </cfRule>
    <cfRule type="cellIs" priority="3" operator="equal" aboveAverage="0" equalAverage="0" bottom="0" percent="0" rank="0" text="" dxfId="8">
      <formula>"Pending"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26"/>
  </cols>
  <sheetData>
    <row r="1" customFormat="false" ht="18" hidden="false" customHeight="true" outlineLevel="0" collapsed="false">
      <c r="A1" s="6" t="s">
        <v>443</v>
      </c>
    </row>
    <row r="2" customFormat="false" ht="15" hidden="false" customHeight="true" outlineLevel="0" collapsed="false">
      <c r="A2" s="7" t="s">
        <v>444</v>
      </c>
    </row>
    <row r="4" customFormat="false" ht="15" hidden="false" customHeight="true" outlineLevel="0" collapsed="false">
      <c r="A4" s="8" t="s">
        <v>445</v>
      </c>
      <c r="B4" s="8"/>
      <c r="C4" s="8" t="s">
        <v>446</v>
      </c>
      <c r="D4" s="8"/>
      <c r="E4" s="8" t="s">
        <v>447</v>
      </c>
      <c r="F4" s="8"/>
      <c r="G4" s="8" t="s">
        <v>448</v>
      </c>
      <c r="H4" s="8"/>
    </row>
    <row r="5" customFormat="false" ht="15.75" hidden="false" customHeight="true" outlineLevel="0" collapsed="false">
      <c r="A5" s="9" t="n">
        <f aca="false">COUNTA('Client Onboarding'!A4:A53)</f>
        <v>50</v>
      </c>
      <c r="B5" s="9"/>
      <c r="C5" s="9" t="n">
        <f aca="false">COUNTIF('Client Onboarding'!M4:M53,"Approved")</f>
        <v>30</v>
      </c>
      <c r="D5" s="9"/>
      <c r="E5" s="9" t="n">
        <f aca="false">COUNTIF('Client Onboarding'!M4:M53,"Pending")</f>
        <v>15</v>
      </c>
      <c r="F5" s="9"/>
      <c r="G5" s="9" t="n">
        <f aca="false">COUNTIF('Client Onboarding'!M4:M53,"Rejected")</f>
        <v>5</v>
      </c>
      <c r="H5" s="9"/>
    </row>
    <row r="7" customFormat="false" ht="15" hidden="false" customHeight="true" outlineLevel="0" collapsed="false">
      <c r="A7" s="8" t="s">
        <v>449</v>
      </c>
      <c r="B7" s="8"/>
      <c r="C7" s="8" t="s">
        <v>450</v>
      </c>
      <c r="D7" s="8"/>
      <c r="E7" s="8" t="s">
        <v>451</v>
      </c>
      <c r="F7" s="8"/>
      <c r="G7" s="8" t="s">
        <v>452</v>
      </c>
      <c r="H7" s="8"/>
    </row>
    <row r="8" customFormat="false" ht="15.75" hidden="false" customHeight="true" outlineLevel="0" collapsed="false">
      <c r="A8" s="10" t="n">
        <f aca="false">C5/A5</f>
        <v>0.6</v>
      </c>
      <c r="B8" s="10"/>
      <c r="C8" s="11" t="n">
        <f aca="false">AVERAGE('Client Onboarding'!J4:J53)</f>
        <v>4.6</v>
      </c>
      <c r="D8" s="11"/>
      <c r="E8" s="10" t="n">
        <f aca="false">COUNTIF('Client Onboarding'!L4:L53,"Yes")/(COUNTIF('Client Onboarding'!L4:L53,"Yes")+COUNTIF('Client Onboarding'!L4:L53,"No"))</f>
        <v>0.657142857142857</v>
      </c>
      <c r="F8" s="10"/>
      <c r="G8" s="9" t="n">
        <f aca="false">COUNTA('Payment Processing'!A4:A123)</f>
        <v>120</v>
      </c>
      <c r="H8" s="9"/>
    </row>
    <row r="10" customFormat="false" ht="15" hidden="false" customHeight="true" outlineLevel="0" collapsed="false">
      <c r="A10" s="8" t="s">
        <v>453</v>
      </c>
      <c r="B10" s="8"/>
      <c r="C10" s="8" t="s">
        <v>454</v>
      </c>
      <c r="D10" s="8"/>
      <c r="E10" s="8" t="s">
        <v>455</v>
      </c>
      <c r="F10" s="8"/>
      <c r="G10" s="8" t="s">
        <v>456</v>
      </c>
      <c r="H10" s="8"/>
    </row>
    <row r="11" customFormat="false" ht="15.75" hidden="false" customHeight="true" outlineLevel="0" collapsed="false">
      <c r="A11" s="10" t="n">
        <f aca="false">COUNTIF('Payment Processing'!H4:H123,"Success")/G8</f>
        <v>0.833333333333333</v>
      </c>
      <c r="B11" s="10"/>
      <c r="C11" s="9" t="n">
        <f aca="false">COUNTIF('Payment Processing'!H4:H123,"Failed")</f>
        <v>16</v>
      </c>
      <c r="D11" s="9"/>
      <c r="E11" s="9" t="n">
        <f aca="false">COUNTIF('Payment Processing'!H4:H123,"Pending")</f>
        <v>2</v>
      </c>
      <c r="F11" s="9"/>
      <c r="G11" s="9" t="n">
        <f aca="false">COUNTIF('Payment Processing'!H4:H123,"Reversed")</f>
        <v>2</v>
      </c>
      <c r="H11" s="9"/>
    </row>
    <row r="13" customFormat="false" ht="15" hidden="false" customHeight="true" outlineLevel="0" collapsed="false">
      <c r="A13" s="8" t="s">
        <v>457</v>
      </c>
      <c r="B13" s="8"/>
      <c r="C13" s="8" t="s">
        <v>458</v>
      </c>
      <c r="D13" s="8"/>
      <c r="E13" s="8" t="s">
        <v>459</v>
      </c>
      <c r="F13" s="8"/>
      <c r="G13" s="8" t="s">
        <v>460</v>
      </c>
      <c r="H13" s="8"/>
    </row>
    <row r="14" customFormat="false" ht="15.75" hidden="false" customHeight="true" outlineLevel="0" collapsed="false">
      <c r="A14" s="9" t="n">
        <f aca="false">COUNTA('Exception Management'!A4:A23)</f>
        <v>20</v>
      </c>
      <c r="B14" s="9"/>
      <c r="C14" s="11" t="n">
        <f aca="false">AVERAGE('Exception Management'!G4:G23)</f>
        <v>2.31333333333333</v>
      </c>
      <c r="D14" s="11"/>
      <c r="E14" s="9" t="n">
        <f aca="false">COUNTIF('Exception Management'!H4:H23,"Resolved")</f>
        <v>15</v>
      </c>
      <c r="F14" s="9"/>
      <c r="G14" s="9" t="n">
        <f aca="false">COUNTIF('Exception Management'!H4:H23,"Pending")</f>
        <v>5</v>
      </c>
      <c r="H14" s="9"/>
    </row>
    <row r="17" customFormat="false" ht="15" hidden="false" customHeight="true" outlineLevel="0" collapsed="false">
      <c r="A17" s="12" t="s">
        <v>461</v>
      </c>
    </row>
    <row r="18" customFormat="false" ht="15" hidden="false" customHeight="true" outlineLevel="0" collapsed="false">
      <c r="A18" s="13" t="s">
        <v>241</v>
      </c>
      <c r="B18" s="13" t="s">
        <v>462</v>
      </c>
      <c r="D18" s="13" t="s">
        <v>242</v>
      </c>
      <c r="E18" s="13" t="s">
        <v>462</v>
      </c>
      <c r="G18" s="13" t="s">
        <v>394</v>
      </c>
      <c r="H18" s="13" t="s">
        <v>462</v>
      </c>
    </row>
    <row r="19" customFormat="false" ht="15" hidden="false" customHeight="true" outlineLevel="0" collapsed="false">
      <c r="A19" s="1" t="s">
        <v>24</v>
      </c>
      <c r="B19" s="1" t="n">
        <f aca="false">COUNTIF('Client Onboarding'!M4:M53,"Approved")</f>
        <v>30</v>
      </c>
      <c r="D19" s="1" t="s">
        <v>249</v>
      </c>
      <c r="E19" s="1" t="n">
        <f aca="false">COUNTIF('Payment Processing'!H4:H123,"Success")</f>
        <v>100</v>
      </c>
      <c r="G19" s="1" t="s">
        <v>423</v>
      </c>
      <c r="H19" s="1" t="n">
        <f aca="false">COUNTIF('Exception Management'!C4:C23,"Invalid Account Number")</f>
        <v>4</v>
      </c>
    </row>
    <row r="20" customFormat="false" ht="15" hidden="false" customHeight="true" outlineLevel="0" collapsed="false">
      <c r="A20" s="1" t="s">
        <v>66</v>
      </c>
      <c r="B20" s="1" t="n">
        <f aca="false">COUNTIF('Client Onboarding'!M4:M53,"Rejected")</f>
        <v>5</v>
      </c>
      <c r="D20" s="1" t="s">
        <v>63</v>
      </c>
      <c r="E20" s="1" t="n">
        <f aca="false">COUNTIF('Payment Processing'!H4:H123,"Failed")</f>
        <v>16</v>
      </c>
      <c r="G20" s="1" t="s">
        <v>406</v>
      </c>
      <c r="H20" s="1" t="n">
        <f aca="false">COUNTIF('Exception Management'!C4:C23,"Wrong IFSC")</f>
        <v>4</v>
      </c>
    </row>
    <row r="21" customFormat="false" ht="15" hidden="false" customHeight="true" outlineLevel="0" collapsed="false">
      <c r="A21" s="1" t="s">
        <v>36</v>
      </c>
      <c r="B21" s="1" t="n">
        <f aca="false">COUNTIF('Client Onboarding'!M4:M53,"Pending")</f>
        <v>15</v>
      </c>
      <c r="D21" s="1" t="s">
        <v>36</v>
      </c>
      <c r="E21" s="1" t="n">
        <f aca="false">COUNTIF('Payment Processing'!H4:H123,"Pending")</f>
        <v>2</v>
      </c>
      <c r="G21" s="1" t="s">
        <v>401</v>
      </c>
      <c r="H21" s="1" t="n">
        <f aca="false">COUNTIF('Exception Management'!C4:C23,"Beneficiary Validation Failure")</f>
        <v>5</v>
      </c>
    </row>
    <row r="22" customFormat="false" ht="15" hidden="false" customHeight="true" outlineLevel="0" collapsed="false">
      <c r="D22" s="1" t="s">
        <v>283</v>
      </c>
      <c r="E22" s="1" t="n">
        <f aca="false">COUNTIF('Payment Processing'!H4:H123,"Reversed")</f>
        <v>2</v>
      </c>
      <c r="G22" s="1" t="s">
        <v>413</v>
      </c>
      <c r="H22" s="1" t="n">
        <f aca="false">COUNTIF('Exception Management'!C4:C23,"Insufficient Funds")</f>
        <v>1</v>
      </c>
    </row>
    <row r="23" customFormat="false" ht="15" hidden="false" customHeight="true" outlineLevel="0" collapsed="false">
      <c r="G23" s="1" t="s">
        <v>426</v>
      </c>
      <c r="H23" s="1" t="n">
        <f aca="false">COUNTIF('Exception Management'!C4:C23,"Network Timeout")</f>
        <v>2</v>
      </c>
    </row>
    <row r="24" customFormat="false" ht="15" hidden="false" customHeight="true" outlineLevel="0" collapsed="false">
      <c r="G24" s="1" t="s">
        <v>419</v>
      </c>
      <c r="H24" s="1" t="n">
        <f aca="false">COUNTIF('Exception Management'!C4:C23,"Duplicate Payment")</f>
        <v>1</v>
      </c>
    </row>
    <row r="25" customFormat="false" ht="15" hidden="false" customHeight="true" outlineLevel="0" collapsed="false">
      <c r="G25" s="1" t="s">
        <v>435</v>
      </c>
      <c r="H25" s="1" t="n">
        <f aca="false">COUNTIF('Exception Management'!C4:C23,"Reversed Payment")</f>
        <v>1</v>
      </c>
    </row>
    <row r="26" customFormat="false" ht="15" hidden="false" customHeight="true" outlineLevel="0" collapsed="false">
      <c r="G26" s="1" t="s">
        <v>429</v>
      </c>
      <c r="H26" s="1" t="n">
        <f aca="false">COUNTIF('Exception Management'!C4:C23,"Sanctions Hold")</f>
        <v>2</v>
      </c>
    </row>
    <row r="29" customFormat="false" ht="15" hidden="false" customHeight="true" outlineLevel="0" collapsed="false">
      <c r="A29" s="13" t="s">
        <v>237</v>
      </c>
      <c r="B29" s="13" t="s">
        <v>463</v>
      </c>
      <c r="D29" s="13" t="s">
        <v>394</v>
      </c>
      <c r="E29" s="13" t="s">
        <v>464</v>
      </c>
    </row>
    <row r="30" customFormat="false" ht="15" hidden="false" customHeight="true" outlineLevel="0" collapsed="false">
      <c r="A30" s="1" t="s">
        <v>246</v>
      </c>
      <c r="B30" s="14" t="n">
        <f aca="false">IFERROR(AVERAGEIFS('Payment Processing'!I4:I123,'Payment Processing'!C4:C123,"UPI",'Payment Processing'!H4:H123,"Success"),0)</f>
        <v>0.783783783783784</v>
      </c>
      <c r="D30" s="1" t="s">
        <v>423</v>
      </c>
      <c r="E30" s="14" t="n">
        <f aca="false">IFERROR(AVERAGEIFS('Exception Management'!G4:G23,'Exception Management'!C4:C23,"Invalid Account Number",'Exception Management'!H4:H23,"Resolved"),0)</f>
        <v>1.25</v>
      </c>
    </row>
    <row r="31" customFormat="false" ht="15" hidden="false" customHeight="true" outlineLevel="0" collapsed="false">
      <c r="A31" s="1" t="s">
        <v>255</v>
      </c>
      <c r="B31" s="14" t="n">
        <f aca="false">IFERROR(AVERAGEIFS('Payment Processing'!I4:I123,'Payment Processing'!C4:C123,"IMPS",'Payment Processing'!H4:H123,"Success"),0)</f>
        <v>0.9375</v>
      </c>
      <c r="D31" s="1" t="s">
        <v>406</v>
      </c>
      <c r="E31" s="14" t="n">
        <f aca="false">IFERROR(AVERAGEIFS('Exception Management'!G4:G23,'Exception Management'!C4:C23,"Wrong IFSC",'Exception Management'!H4:H23,"Resolved"),0)</f>
        <v>2.65</v>
      </c>
    </row>
    <row r="32" customFormat="false" ht="15" hidden="false" customHeight="true" outlineLevel="0" collapsed="false">
      <c r="A32" s="1" t="s">
        <v>252</v>
      </c>
      <c r="B32" s="14" t="n">
        <f aca="false">IFERROR(AVERAGEIFS('Payment Processing'!I4:I123,'Payment Processing'!C4:C123,"NEFT",'Payment Processing'!H4:H123,"Success"),0)</f>
        <v>0.695833333333333</v>
      </c>
      <c r="D32" s="1" t="s">
        <v>401</v>
      </c>
      <c r="E32" s="14" t="n">
        <f aca="false">IFERROR(AVERAGEIFS('Exception Management'!G4:G23,'Exception Management'!C4:C23,"Beneficiary Validation Failure",'Exception Management'!H4:H23,"Resolved"),0)</f>
        <v>2.65</v>
      </c>
    </row>
    <row r="33" customFormat="false" ht="15" hidden="false" customHeight="true" outlineLevel="0" collapsed="false">
      <c r="A33" s="1" t="s">
        <v>267</v>
      </c>
      <c r="B33" s="14" t="n">
        <f aca="false">IFERROR(AVERAGEIFS('Payment Processing'!I4:I123,'Payment Processing'!C4:C123,"RTGS",'Payment Processing'!H4:H123,"Success"),0)</f>
        <v>0.89</v>
      </c>
      <c r="D33" s="1" t="s">
        <v>413</v>
      </c>
      <c r="E33" s="14" t="n">
        <f aca="false">IFERROR(AVERAGEIFS('Exception Management'!G4:G23,'Exception Management'!C4:C23,"Insufficient Funds",'Exception Management'!H4:H23,"Resolved"),0)</f>
        <v>1.8</v>
      </c>
    </row>
    <row r="34" customFormat="false" ht="15" hidden="false" customHeight="true" outlineLevel="0" collapsed="false">
      <c r="A34" s="1" t="s">
        <v>314</v>
      </c>
      <c r="B34" s="14" t="n">
        <f aca="false">IFERROR(AVERAGEIFS('Payment Processing'!I4:I123,'Payment Processing'!C4:C123,"SWIFT",'Payment Processing'!H4:H123,"Success"),0)</f>
        <v>0.78</v>
      </c>
      <c r="D34" s="1" t="s">
        <v>426</v>
      </c>
      <c r="E34" s="14" t="n">
        <f aca="false">IFERROR(AVERAGEIFS('Exception Management'!G4:G23,'Exception Management'!C4:C23,"Network Timeout",'Exception Management'!H4:H23,"Resolved"),0)</f>
        <v>2.55</v>
      </c>
    </row>
    <row r="35" customFormat="false" ht="15" hidden="false" customHeight="true" outlineLevel="0" collapsed="false">
      <c r="D35" s="1" t="s">
        <v>419</v>
      </c>
      <c r="E35" s="14" t="n">
        <f aca="false">IFERROR(AVERAGEIFS('Exception Management'!G4:G23,'Exception Management'!C4:C23,"Duplicate Payment",'Exception Management'!H4:H23,"Resolved"),0)</f>
        <v>2.1</v>
      </c>
    </row>
    <row r="36" customFormat="false" ht="15" hidden="false" customHeight="true" outlineLevel="0" collapsed="false">
      <c r="D36" s="1" t="s">
        <v>435</v>
      </c>
      <c r="E36" s="14" t="n">
        <f aca="false">IFERROR(AVERAGEIFS('Exception Management'!G4:G23,'Exception Management'!C4:C23,"Reversed Payment",'Exception Management'!H4:H23,"Resolved"),0)</f>
        <v>3.5</v>
      </c>
    </row>
    <row r="37" customFormat="false" ht="15" hidden="false" customHeight="true" outlineLevel="0" collapsed="false">
      <c r="D37" s="1" t="s">
        <v>429</v>
      </c>
      <c r="E37" s="14" t="n">
        <f aca="false">IFERROR(AVERAGEIFS('Exception Management'!G4:G23,'Exception Management'!C4:C23,"Sanctions Hold",'Exception Management'!H4:H23,"Resolved"),0)</f>
        <v>1.9</v>
      </c>
    </row>
    <row r="41" customFormat="false" ht="15.75" hidden="false" customHeight="true" outlineLevel="0" collapsed="false">
      <c r="A41" s="2" t="s">
        <v>465</v>
      </c>
    </row>
    <row r="42" customFormat="false" ht="15" hidden="false" customHeight="true" outlineLevel="0" collapsed="false">
      <c r="A42" s="15" t="s">
        <v>466</v>
      </c>
    </row>
    <row r="43" customFormat="false" ht="15" hidden="false" customHeight="true" outlineLevel="0" collapsed="false">
      <c r="A43" s="16" t="s">
        <v>467</v>
      </c>
      <c r="B43" s="17" t="s">
        <v>57</v>
      </c>
    </row>
    <row r="45" customFormat="false" ht="15" hidden="false" customHeight="true" outlineLevel="0" collapsed="false">
      <c r="A45" s="18" t="s">
        <v>468</v>
      </c>
      <c r="B45" s="19" t="str">
        <f aca="false">INDEX('Client Onboarding'!$C$4:$C$53,MATCH($B$43,'Client Onboarding'!$B$4:$B$53,0))</f>
        <v>Rahul Iyer</v>
      </c>
    </row>
    <row r="46" customFormat="false" ht="15" hidden="false" customHeight="true" outlineLevel="0" collapsed="false">
      <c r="A46" s="18" t="s">
        <v>469</v>
      </c>
      <c r="B46" s="19" t="str">
        <f aca="false">INDEX('Client Onboarding'!$D$4:$D$53,MATCH($B$43,'Client Onboarding'!$B$4:$B$53,0))</f>
        <v>Individual</v>
      </c>
    </row>
    <row r="47" customFormat="false" ht="15" hidden="false" customHeight="true" outlineLevel="0" collapsed="false">
      <c r="A47" s="18" t="s">
        <v>470</v>
      </c>
      <c r="B47" s="19" t="str">
        <f aca="false">INDEX('Client Onboarding'!$G$4:$G$53,MATCH($B$43,'Client Onboarding'!$B$4:$B$53,0))</f>
        <v>Low</v>
      </c>
    </row>
    <row r="48" customFormat="false" ht="15" hidden="false" customHeight="true" outlineLevel="0" collapsed="false">
      <c r="A48" s="18" t="s">
        <v>471</v>
      </c>
      <c r="B48" s="19" t="str">
        <f aca="false">INDEX('Client Onboarding'!$M$4:$M$53,MATCH($B$43,'Client Onboarding'!$B$4:$B$53,0))</f>
        <v>Pending</v>
      </c>
    </row>
    <row r="51" customFormat="false" ht="15.75" hidden="false" customHeight="true" outlineLevel="0" collapsed="false">
      <c r="A51" s="2" t="s">
        <v>472</v>
      </c>
    </row>
    <row r="52" customFormat="false" ht="15" hidden="false" customHeight="true" outlineLevel="0" collapsed="false">
      <c r="A52" s="13" t="s">
        <v>237</v>
      </c>
      <c r="B52" s="13" t="s">
        <v>473</v>
      </c>
      <c r="C52" s="13" t="s">
        <v>474</v>
      </c>
    </row>
    <row r="53" customFormat="false" ht="15" hidden="false" customHeight="true" outlineLevel="0" collapsed="false">
      <c r="A53" s="20" t="s">
        <v>246</v>
      </c>
      <c r="B53" s="21" t="n">
        <f aca="false">SUMIFS('Payment Processing'!$D$4:$D$123,'Payment Processing'!$C$4:$C$123,A53,'Payment Processing'!$H$4:$H$123,"Success")</f>
        <v>1827846</v>
      </c>
      <c r="C53" s="20" t="n">
        <f aca="false">COUNTIFS('Payment Processing'!$C$4:$C$123,A53,'Payment Processing'!$H$4:$H$123,"Success")</f>
        <v>37</v>
      </c>
    </row>
    <row r="54" customFormat="false" ht="15" hidden="false" customHeight="true" outlineLevel="0" collapsed="false">
      <c r="A54" s="20" t="s">
        <v>255</v>
      </c>
      <c r="B54" s="21" t="n">
        <f aca="false">SUMIFS('Payment Processing'!$D$4:$D$123,'Payment Processing'!$C$4:$C$123,A54,'Payment Processing'!$H$4:$H$123,"Success")</f>
        <v>2935631</v>
      </c>
      <c r="C54" s="20" t="n">
        <f aca="false">COUNTIFS('Payment Processing'!$C$4:$C$123,A54,'Payment Processing'!$H$4:$H$123,"Success")</f>
        <v>24</v>
      </c>
    </row>
    <row r="55" customFormat="false" ht="15" hidden="false" customHeight="true" outlineLevel="0" collapsed="false">
      <c r="A55" s="20" t="s">
        <v>252</v>
      </c>
      <c r="B55" s="21" t="n">
        <f aca="false">SUMIFS('Payment Processing'!$D$4:$D$123,'Payment Processing'!$C$4:$C$123,A55,'Payment Processing'!$H$4:$H$123,"Success")</f>
        <v>3708130</v>
      </c>
      <c r="C55" s="20" t="n">
        <f aca="false">COUNTIFS('Payment Processing'!$C$4:$C$123,A55,'Payment Processing'!$H$4:$H$123,"Success")</f>
        <v>24</v>
      </c>
    </row>
    <row r="56" customFormat="false" ht="15" hidden="false" customHeight="true" outlineLevel="0" collapsed="false">
      <c r="A56" s="20" t="s">
        <v>267</v>
      </c>
      <c r="B56" s="21" t="n">
        <f aca="false">SUMIFS('Payment Processing'!$D$4:$D$123,'Payment Processing'!$C$4:$C$123,A56,'Payment Processing'!$H$4:$H$123,"Success")</f>
        <v>18951601</v>
      </c>
      <c r="C56" s="20" t="n">
        <f aca="false">COUNTIFS('Payment Processing'!$C$4:$C$123,A56,'Payment Processing'!$H$4:$H$123,"Success")</f>
        <v>10</v>
      </c>
    </row>
    <row r="57" customFormat="false" ht="15" hidden="false" customHeight="true" outlineLevel="0" collapsed="false">
      <c r="A57" s="20" t="s">
        <v>314</v>
      </c>
      <c r="B57" s="21" t="n">
        <f aca="false">SUMIFS('Payment Processing'!$D$4:$D$123,'Payment Processing'!$C$4:$C$123,A57,'Payment Processing'!$H$4:$H$123,"Success")</f>
        <v>5611594</v>
      </c>
      <c r="C57" s="20" t="n">
        <f aca="false">COUNTIFS('Payment Processing'!$C$4:$C$123,A57,'Payment Processing'!$H$4:$H$123,"Success")</f>
        <v>5</v>
      </c>
    </row>
    <row r="60" customFormat="false" ht="15.75" hidden="false" customHeight="true" outlineLevel="0" collapsed="false">
      <c r="A60" s="2" t="s">
        <v>475</v>
      </c>
    </row>
    <row r="61" customFormat="false" ht="15" hidden="false" customHeight="true" outlineLevel="0" collapsed="false">
      <c r="A61" s="22" t="s">
        <v>476</v>
      </c>
      <c r="B61" s="22" t="s">
        <v>477</v>
      </c>
      <c r="C61" s="22" t="s">
        <v>478</v>
      </c>
    </row>
    <row r="62" customFormat="false" ht="21.75" hidden="false" customHeight="true" outlineLevel="0" collapsed="false">
      <c r="A62" s="18" t="s">
        <v>479</v>
      </c>
      <c r="B62" s="23" t="s">
        <v>480</v>
      </c>
      <c r="C62" s="24" t="s">
        <v>481</v>
      </c>
    </row>
    <row r="63" customFormat="false" ht="32.25" hidden="false" customHeight="true" outlineLevel="0" collapsed="false">
      <c r="A63" s="18" t="s">
        <v>482</v>
      </c>
      <c r="B63" s="23" t="s">
        <v>483</v>
      </c>
      <c r="C63" s="24" t="s">
        <v>484</v>
      </c>
    </row>
    <row r="64" customFormat="false" ht="21.75" hidden="false" customHeight="true" outlineLevel="0" collapsed="false">
      <c r="A64" s="18" t="s">
        <v>485</v>
      </c>
      <c r="B64" s="23" t="s">
        <v>486</v>
      </c>
      <c r="C64" s="24" t="s">
        <v>487</v>
      </c>
    </row>
    <row r="65" customFormat="false" ht="32.25" hidden="false" customHeight="true" outlineLevel="0" collapsed="false">
      <c r="A65" s="18" t="s">
        <v>488</v>
      </c>
      <c r="B65" s="23" t="s">
        <v>489</v>
      </c>
      <c r="C65" s="24" t="s">
        <v>490</v>
      </c>
    </row>
    <row r="66" customFormat="false" ht="32.25" hidden="false" customHeight="true" outlineLevel="0" collapsed="false">
      <c r="A66" s="18" t="s">
        <v>491</v>
      </c>
      <c r="B66" s="23" t="s">
        <v>492</v>
      </c>
      <c r="C66" s="24" t="s">
        <v>493</v>
      </c>
    </row>
    <row r="67" customFormat="false" ht="32.25" hidden="false" customHeight="true" outlineLevel="0" collapsed="false">
      <c r="A67" s="18" t="s">
        <v>494</v>
      </c>
      <c r="B67" s="23" t="s">
        <v>495</v>
      </c>
      <c r="C67" s="24" t="s">
        <v>496</v>
      </c>
    </row>
    <row r="68" customFormat="false" ht="21.75" hidden="false" customHeight="true" outlineLevel="0" collapsed="false">
      <c r="A68" s="18" t="s">
        <v>497</v>
      </c>
      <c r="B68" s="23" t="s">
        <v>498</v>
      </c>
      <c r="C68" s="24" t="s">
        <v>499</v>
      </c>
    </row>
    <row r="69" customFormat="false" ht="32.25" hidden="false" customHeight="true" outlineLevel="0" collapsed="false">
      <c r="A69" s="18" t="s">
        <v>500</v>
      </c>
      <c r="B69" s="23" t="s">
        <v>501</v>
      </c>
      <c r="C69" s="24" t="s">
        <v>502</v>
      </c>
    </row>
    <row r="70" customFormat="false" ht="21.75" hidden="false" customHeight="true" outlineLevel="0" collapsed="false"/>
  </sheetData>
  <mergeCells count="32"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10:B10"/>
    <mergeCell ref="C10:D10"/>
    <mergeCell ref="E10:F10"/>
    <mergeCell ref="G10:H10"/>
    <mergeCell ref="A11:B11"/>
    <mergeCell ref="C11:D11"/>
    <mergeCell ref="E11:F11"/>
    <mergeCell ref="G11:H11"/>
    <mergeCell ref="A13:B13"/>
    <mergeCell ref="C13:D13"/>
    <mergeCell ref="E13:F13"/>
    <mergeCell ref="G13:H13"/>
    <mergeCell ref="A14:B14"/>
    <mergeCell ref="C14:D14"/>
    <mergeCell ref="E14:F14"/>
    <mergeCell ref="G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6" min="6" style="1" width="17"/>
    <col collapsed="false" customWidth="true" hidden="false" outlineLevel="0" max="8" min="7" style="1" width="14"/>
    <col collapsed="false" customWidth="true" hidden="false" outlineLevel="0" max="9" min="9" style="1" width="40"/>
  </cols>
  <sheetData>
    <row r="1" customFormat="false" ht="15.75" hidden="false" customHeight="true" outlineLevel="0" collapsed="false">
      <c r="A1" s="2" t="s">
        <v>503</v>
      </c>
    </row>
    <row r="3" customFormat="false" ht="23.25" hidden="false" customHeight="true" outlineLevel="0" collapsed="false">
      <c r="A3" s="3" t="s">
        <v>504</v>
      </c>
      <c r="B3" s="3" t="s">
        <v>505</v>
      </c>
      <c r="C3" s="3" t="s">
        <v>506</v>
      </c>
      <c r="D3" s="3" t="s">
        <v>507</v>
      </c>
      <c r="E3" s="3" t="s">
        <v>508</v>
      </c>
      <c r="F3" s="3" t="s">
        <v>509</v>
      </c>
      <c r="G3" s="3" t="s">
        <v>510</v>
      </c>
      <c r="H3" s="3" t="s">
        <v>511</v>
      </c>
      <c r="I3" s="3" t="s">
        <v>512</v>
      </c>
    </row>
    <row r="4" customFormat="false" ht="15" hidden="false" customHeight="true" outlineLevel="0" collapsed="false">
      <c r="A4" s="4" t="s">
        <v>513</v>
      </c>
      <c r="B4" s="4" t="s">
        <v>162</v>
      </c>
      <c r="C4" s="4" t="s">
        <v>514</v>
      </c>
      <c r="D4" s="4" t="s">
        <v>515</v>
      </c>
      <c r="E4" s="4" t="s">
        <v>248</v>
      </c>
      <c r="F4" s="4" t="s">
        <v>516</v>
      </c>
      <c r="G4" s="4" t="s">
        <v>36</v>
      </c>
      <c r="H4" s="4" t="s">
        <v>24</v>
      </c>
      <c r="I4" s="4" t="s">
        <v>517</v>
      </c>
    </row>
    <row r="5" customFormat="false" ht="15" hidden="false" customHeight="true" outlineLevel="0" collapsed="false">
      <c r="A5" s="4" t="s">
        <v>518</v>
      </c>
      <c r="B5" s="4" t="s">
        <v>68</v>
      </c>
      <c r="C5" s="4" t="s">
        <v>514</v>
      </c>
      <c r="D5" s="4" t="s">
        <v>515</v>
      </c>
      <c r="E5" s="4" t="s">
        <v>253</v>
      </c>
      <c r="F5" s="4" t="s">
        <v>519</v>
      </c>
      <c r="G5" s="4" t="s">
        <v>36</v>
      </c>
      <c r="H5" s="4" t="s">
        <v>24</v>
      </c>
      <c r="I5" s="4" t="s">
        <v>517</v>
      </c>
    </row>
    <row r="6" customFormat="false" ht="15" hidden="false" customHeight="true" outlineLevel="0" collapsed="false">
      <c r="A6" s="4" t="s">
        <v>520</v>
      </c>
      <c r="B6" s="4" t="s">
        <v>322</v>
      </c>
      <c r="C6" s="4" t="s">
        <v>521</v>
      </c>
      <c r="D6" s="4" t="s">
        <v>515</v>
      </c>
      <c r="E6" s="4" t="s">
        <v>253</v>
      </c>
      <c r="F6" s="4" t="s">
        <v>522</v>
      </c>
      <c r="G6" s="4" t="s">
        <v>36</v>
      </c>
      <c r="H6" s="4" t="s">
        <v>63</v>
      </c>
      <c r="I6" s="4" t="s">
        <v>523</v>
      </c>
    </row>
    <row r="7" customFormat="false" ht="15" hidden="false" customHeight="true" outlineLevel="0" collapsed="false">
      <c r="A7" s="4" t="s">
        <v>524</v>
      </c>
      <c r="B7" s="4" t="s">
        <v>72</v>
      </c>
      <c r="C7" s="4" t="s">
        <v>514</v>
      </c>
      <c r="D7" s="4" t="s">
        <v>515</v>
      </c>
      <c r="E7" s="4" t="s">
        <v>525</v>
      </c>
      <c r="F7" s="4" t="s">
        <v>526</v>
      </c>
      <c r="G7" s="4" t="s">
        <v>36</v>
      </c>
      <c r="H7" s="4" t="s">
        <v>24</v>
      </c>
      <c r="I7" s="4" t="s">
        <v>517</v>
      </c>
    </row>
    <row r="8" customFormat="false" ht="15" hidden="false" customHeight="true" outlineLevel="0" collapsed="false">
      <c r="A8" s="4" t="s">
        <v>527</v>
      </c>
      <c r="B8" s="4" t="s">
        <v>229</v>
      </c>
      <c r="C8" s="4" t="s">
        <v>514</v>
      </c>
      <c r="D8" s="4" t="s">
        <v>515</v>
      </c>
      <c r="E8" s="4" t="s">
        <v>525</v>
      </c>
      <c r="F8" s="4" t="s">
        <v>526</v>
      </c>
      <c r="G8" s="4" t="s">
        <v>36</v>
      </c>
      <c r="H8" s="4" t="s">
        <v>24</v>
      </c>
      <c r="I8" s="4" t="s">
        <v>517</v>
      </c>
    </row>
    <row r="9" customFormat="false" ht="15" hidden="false" customHeight="true" outlineLevel="0" collapsed="false">
      <c r="A9" s="4" t="s">
        <v>528</v>
      </c>
      <c r="B9" s="4" t="s">
        <v>95</v>
      </c>
      <c r="C9" s="4" t="s">
        <v>514</v>
      </c>
      <c r="D9" s="4" t="s">
        <v>515</v>
      </c>
      <c r="E9" s="4" t="s">
        <v>248</v>
      </c>
      <c r="F9" s="4" t="s">
        <v>529</v>
      </c>
      <c r="G9" s="4" t="s">
        <v>36</v>
      </c>
      <c r="H9" s="4" t="s">
        <v>24</v>
      </c>
      <c r="I9" s="4" t="s">
        <v>517</v>
      </c>
    </row>
    <row r="10" customFormat="false" ht="15" hidden="false" customHeight="true" outlineLevel="0" collapsed="false">
      <c r="A10" s="4" t="s">
        <v>530</v>
      </c>
      <c r="B10" s="4" t="s">
        <v>418</v>
      </c>
      <c r="C10" s="4" t="s">
        <v>531</v>
      </c>
      <c r="D10" s="4" t="s">
        <v>532</v>
      </c>
      <c r="E10" s="4" t="s">
        <v>256</v>
      </c>
      <c r="F10" s="4" t="s">
        <v>533</v>
      </c>
      <c r="G10" s="4" t="s">
        <v>36</v>
      </c>
      <c r="H10" s="4" t="s">
        <v>411</v>
      </c>
      <c r="I10" s="4" t="s">
        <v>534</v>
      </c>
    </row>
    <row r="11" customFormat="false" ht="15" hidden="false" customHeight="true" outlineLevel="0" collapsed="false">
      <c r="A11" s="4" t="s">
        <v>535</v>
      </c>
      <c r="B11" s="4" t="s">
        <v>437</v>
      </c>
      <c r="C11" s="4" t="s">
        <v>531</v>
      </c>
      <c r="D11" s="4" t="s">
        <v>532</v>
      </c>
      <c r="E11" s="4" t="s">
        <v>525</v>
      </c>
      <c r="F11" s="4" t="s">
        <v>536</v>
      </c>
      <c r="G11" s="4" t="s">
        <v>36</v>
      </c>
      <c r="H11" s="4" t="s">
        <v>411</v>
      </c>
      <c r="I11" s="4" t="s">
        <v>537</v>
      </c>
    </row>
    <row r="12" customFormat="false" ht="15" hidden="false" customHeight="true" outlineLevel="0" collapsed="false">
      <c r="A12" s="4" t="s">
        <v>538</v>
      </c>
      <c r="B12" s="4" t="s">
        <v>145</v>
      </c>
      <c r="C12" s="4" t="s">
        <v>514</v>
      </c>
      <c r="D12" s="4" t="s">
        <v>515</v>
      </c>
      <c r="E12" s="4" t="s">
        <v>253</v>
      </c>
      <c r="F12" s="4" t="s">
        <v>539</v>
      </c>
      <c r="G12" s="4" t="s">
        <v>36</v>
      </c>
      <c r="H12" s="4" t="s">
        <v>24</v>
      </c>
      <c r="I12" s="4" t="s">
        <v>517</v>
      </c>
    </row>
    <row r="13" customFormat="false" ht="15" hidden="false" customHeight="true" outlineLevel="0" collapsed="false">
      <c r="A13" s="4" t="s">
        <v>540</v>
      </c>
      <c r="B13" s="4" t="s">
        <v>219</v>
      </c>
      <c r="C13" s="4" t="s">
        <v>514</v>
      </c>
      <c r="D13" s="4" t="s">
        <v>515</v>
      </c>
      <c r="E13" s="4" t="s">
        <v>253</v>
      </c>
      <c r="F13" s="4" t="s">
        <v>541</v>
      </c>
      <c r="G13" s="4" t="s">
        <v>36</v>
      </c>
      <c r="H13" s="4" t="s">
        <v>24</v>
      </c>
      <c r="I13" s="4" t="s">
        <v>517</v>
      </c>
    </row>
    <row r="14" customFormat="false" ht="15" hidden="false" customHeight="true" outlineLevel="0" collapsed="false">
      <c r="A14" s="4" t="s">
        <v>542</v>
      </c>
      <c r="B14" s="4" t="s">
        <v>428</v>
      </c>
      <c r="C14" s="4" t="s">
        <v>531</v>
      </c>
      <c r="D14" s="4" t="s">
        <v>532</v>
      </c>
      <c r="E14" s="4" t="s">
        <v>248</v>
      </c>
      <c r="F14" s="4" t="s">
        <v>543</v>
      </c>
      <c r="G14" s="4" t="s">
        <v>36</v>
      </c>
      <c r="H14" s="4" t="s">
        <v>411</v>
      </c>
      <c r="I14" s="4" t="s">
        <v>544</v>
      </c>
    </row>
    <row r="15" customFormat="false" ht="15" hidden="false" customHeight="true" outlineLevel="0" collapsed="false">
      <c r="A15" s="4" t="s">
        <v>545</v>
      </c>
      <c r="B15" s="4" t="s">
        <v>440</v>
      </c>
      <c r="C15" s="4" t="s">
        <v>531</v>
      </c>
      <c r="D15" s="4" t="s">
        <v>532</v>
      </c>
      <c r="E15" s="4" t="s">
        <v>256</v>
      </c>
      <c r="F15" s="4" t="s">
        <v>546</v>
      </c>
      <c r="G15" s="4" t="s">
        <v>36</v>
      </c>
      <c r="H15" s="4" t="s">
        <v>411</v>
      </c>
      <c r="I15" s="4" t="s">
        <v>537</v>
      </c>
    </row>
    <row r="16" customFormat="false" ht="15" hidden="false" customHeight="true" outlineLevel="0" collapsed="false">
      <c r="A16" s="4" t="s">
        <v>547</v>
      </c>
      <c r="B16" s="4" t="s">
        <v>108</v>
      </c>
      <c r="C16" s="4" t="s">
        <v>514</v>
      </c>
      <c r="D16" s="4" t="s">
        <v>515</v>
      </c>
      <c r="E16" s="4" t="s">
        <v>247</v>
      </c>
      <c r="F16" s="4" t="s">
        <v>548</v>
      </c>
      <c r="G16" s="4" t="s">
        <v>36</v>
      </c>
      <c r="H16" s="4" t="s">
        <v>24</v>
      </c>
      <c r="I16" s="4" t="s">
        <v>517</v>
      </c>
    </row>
    <row r="17" customFormat="false" ht="15" hidden="false" customHeight="true" outlineLevel="0" collapsed="false">
      <c r="A17" s="4" t="s">
        <v>549</v>
      </c>
      <c r="B17" s="4" t="s">
        <v>431</v>
      </c>
      <c r="C17" s="4" t="s">
        <v>531</v>
      </c>
      <c r="D17" s="4" t="s">
        <v>550</v>
      </c>
      <c r="E17" s="4" t="s">
        <v>525</v>
      </c>
      <c r="F17" s="4" t="s">
        <v>551</v>
      </c>
      <c r="G17" s="4" t="s">
        <v>552</v>
      </c>
      <c r="H17" s="4" t="s">
        <v>36</v>
      </c>
      <c r="I17" s="4" t="s">
        <v>553</v>
      </c>
    </row>
    <row r="18" customFormat="false" ht="15" hidden="false" customHeight="true" outlineLevel="0" collapsed="false">
      <c r="A18" s="4" t="s">
        <v>554</v>
      </c>
      <c r="B18" s="4" t="s">
        <v>405</v>
      </c>
      <c r="C18" s="4" t="s">
        <v>531</v>
      </c>
      <c r="D18" s="4" t="s">
        <v>550</v>
      </c>
      <c r="E18" s="4" t="s">
        <v>247</v>
      </c>
      <c r="F18" s="4" t="s">
        <v>555</v>
      </c>
      <c r="G18" s="4" t="s">
        <v>552</v>
      </c>
      <c r="H18" s="4" t="s">
        <v>36</v>
      </c>
      <c r="I18" s="4" t="s">
        <v>553</v>
      </c>
    </row>
    <row r="19" customFormat="false" ht="15" hidden="false" customHeight="true" outlineLevel="0" collapsed="false">
      <c r="A19" s="4" t="s">
        <v>556</v>
      </c>
      <c r="B19" s="4" t="s">
        <v>354</v>
      </c>
      <c r="C19" s="4" t="s">
        <v>521</v>
      </c>
      <c r="D19" s="4" t="s">
        <v>515</v>
      </c>
      <c r="E19" s="4" t="s">
        <v>248</v>
      </c>
      <c r="F19" s="4" t="s">
        <v>557</v>
      </c>
      <c r="G19" s="4" t="s">
        <v>36</v>
      </c>
      <c r="H19" s="4" t="s">
        <v>63</v>
      </c>
      <c r="I19" s="4" t="s">
        <v>523</v>
      </c>
    </row>
    <row r="20" customFormat="false" ht="15" hidden="false" customHeight="true" outlineLevel="0" collapsed="false">
      <c r="A20" s="4" t="s">
        <v>558</v>
      </c>
      <c r="B20" s="4" t="s">
        <v>308</v>
      </c>
      <c r="C20" s="4" t="s">
        <v>521</v>
      </c>
      <c r="D20" s="4" t="s">
        <v>515</v>
      </c>
      <c r="E20" s="4" t="s">
        <v>525</v>
      </c>
      <c r="F20" s="4" t="s">
        <v>559</v>
      </c>
      <c r="G20" s="4" t="s">
        <v>36</v>
      </c>
      <c r="H20" s="4" t="s">
        <v>63</v>
      </c>
      <c r="I20" s="4" t="s">
        <v>523</v>
      </c>
    </row>
    <row r="21" customFormat="false" ht="15" hidden="false" customHeight="true" outlineLevel="0" collapsed="false">
      <c r="A21" s="4" t="s">
        <v>560</v>
      </c>
      <c r="B21" s="4" t="s">
        <v>382</v>
      </c>
      <c r="C21" s="4" t="s">
        <v>521</v>
      </c>
      <c r="D21" s="4" t="s">
        <v>515</v>
      </c>
      <c r="E21" s="4" t="s">
        <v>253</v>
      </c>
      <c r="F21" s="4" t="s">
        <v>561</v>
      </c>
      <c r="G21" s="4" t="s">
        <v>36</v>
      </c>
      <c r="H21" s="4" t="s">
        <v>63</v>
      </c>
      <c r="I21" s="4" t="s">
        <v>523</v>
      </c>
    </row>
    <row r="22" customFormat="false" ht="15" hidden="false" customHeight="true" outlineLevel="0" collapsed="false">
      <c r="A22" s="4" t="s">
        <v>562</v>
      </c>
      <c r="B22" s="4" t="s">
        <v>282</v>
      </c>
      <c r="C22" s="4" t="s">
        <v>521</v>
      </c>
      <c r="D22" s="4" t="s">
        <v>515</v>
      </c>
      <c r="E22" s="4" t="s">
        <v>247</v>
      </c>
      <c r="F22" s="4" t="s">
        <v>563</v>
      </c>
      <c r="G22" s="4" t="s">
        <v>36</v>
      </c>
      <c r="H22" s="4" t="s">
        <v>283</v>
      </c>
      <c r="I22" s="4" t="s">
        <v>523</v>
      </c>
    </row>
    <row r="23" customFormat="false" ht="15" hidden="false" customHeight="true" outlineLevel="0" collapsed="false">
      <c r="A23" s="4" t="s">
        <v>564</v>
      </c>
      <c r="B23" s="4" t="s">
        <v>384</v>
      </c>
      <c r="C23" s="4" t="s">
        <v>521</v>
      </c>
      <c r="D23" s="4" t="s">
        <v>515</v>
      </c>
      <c r="E23" s="4" t="s">
        <v>247</v>
      </c>
      <c r="F23" s="4" t="s">
        <v>565</v>
      </c>
      <c r="G23" s="4" t="s">
        <v>36</v>
      </c>
      <c r="H23" s="4" t="s">
        <v>63</v>
      </c>
      <c r="I23" s="4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5"/>
  </cols>
  <sheetData>
    <row r="1" customFormat="false" ht="15.75" hidden="false" customHeight="true" outlineLevel="0" collapsed="false">
      <c r="A1" s="2" t="s">
        <v>566</v>
      </c>
    </row>
    <row r="3" customFormat="false" ht="15" hidden="false" customHeight="true" outlineLevel="0" collapsed="false">
      <c r="A3" s="3" t="s">
        <v>567</v>
      </c>
      <c r="B3" s="3" t="s">
        <v>568</v>
      </c>
    </row>
    <row r="4" customFormat="false" ht="15" hidden="false" customHeight="true" outlineLevel="0" collapsed="false">
      <c r="A4" s="4" t="n">
        <v>1</v>
      </c>
      <c r="B4" s="25" t="s">
        <v>569</v>
      </c>
    </row>
    <row r="5" customFormat="false" ht="15" hidden="false" customHeight="true" outlineLevel="0" collapsed="false">
      <c r="A5" s="4" t="n">
        <v>2</v>
      </c>
      <c r="B5" s="25" t="s">
        <v>570</v>
      </c>
    </row>
    <row r="6" customFormat="false" ht="15" hidden="false" customHeight="true" outlineLevel="0" collapsed="false">
      <c r="A6" s="4" t="n">
        <v>3</v>
      </c>
      <c r="B6" s="25" t="s">
        <v>571</v>
      </c>
    </row>
    <row r="7" customFormat="false" ht="15" hidden="false" customHeight="true" outlineLevel="0" collapsed="false">
      <c r="A7" s="4" t="n">
        <v>4</v>
      </c>
      <c r="B7" s="25" t="s">
        <v>572</v>
      </c>
    </row>
    <row r="8" customFormat="false" ht="15" hidden="false" customHeight="true" outlineLevel="0" collapsed="false">
      <c r="A8" s="4" t="n">
        <v>5</v>
      </c>
      <c r="B8" s="25" t="s">
        <v>573</v>
      </c>
    </row>
    <row r="9" customFormat="false" ht="15" hidden="false" customHeight="true" outlineLevel="0" collapsed="false">
      <c r="A9" s="4" t="n">
        <v>6</v>
      </c>
      <c r="B9" s="25" t="s">
        <v>574</v>
      </c>
    </row>
    <row r="10" customFormat="false" ht="15" hidden="false" customHeight="true" outlineLevel="0" collapsed="false">
      <c r="A10" s="4" t="n">
        <v>7</v>
      </c>
      <c r="B10" s="25" t="s">
        <v>575</v>
      </c>
    </row>
    <row r="11" customFormat="false" ht="15" hidden="false" customHeight="true" outlineLevel="0" collapsed="false">
      <c r="A11" s="4" t="n">
        <v>8</v>
      </c>
      <c r="B11" s="25" t="s">
        <v>576</v>
      </c>
    </row>
    <row r="12" customFormat="false" ht="15" hidden="false" customHeight="true" outlineLevel="0" collapsed="false">
      <c r="A12" s="4" t="n">
        <v>9</v>
      </c>
      <c r="B12" s="25" t="s">
        <v>577</v>
      </c>
    </row>
    <row r="13" customFormat="false" ht="15" hidden="false" customHeight="true" outlineLevel="0" collapsed="false">
      <c r="A13" s="4" t="n">
        <v>10</v>
      </c>
      <c r="B13" s="25" t="s">
        <v>578</v>
      </c>
    </row>
    <row r="14" customFormat="false" ht="15" hidden="false" customHeight="true" outlineLevel="0" collapsed="false">
      <c r="A14" s="4" t="n">
        <v>11</v>
      </c>
      <c r="B14" s="25" t="s">
        <v>579</v>
      </c>
    </row>
    <row r="15" customFormat="false" ht="15" hidden="false" customHeight="true" outlineLevel="0" collapsed="false">
      <c r="A15" s="4" t="n">
        <v>12</v>
      </c>
      <c r="B15" s="25" t="s">
        <v>580</v>
      </c>
    </row>
    <row r="16" customFormat="false" ht="15" hidden="false" customHeight="true" outlineLevel="0" collapsed="false">
      <c r="A16" s="4" t="n">
        <v>13</v>
      </c>
      <c r="B16" s="25" t="s">
        <v>581</v>
      </c>
    </row>
    <row r="17" customFormat="false" ht="15" hidden="false" customHeight="true" outlineLevel="0" collapsed="false">
      <c r="A17" s="4" t="n">
        <v>14</v>
      </c>
      <c r="B17" s="25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2026-07-10T03:39:52Z</dcterms:created>
  <dc:creator>openpyxl</dc:creator>
  <dc:description/>
  <dc:language>en-US</dc:language>
  <cp:lastModifiedBy/>
  <dcterms:modified xsi:type="dcterms:W3CDTF">2026-07-10T03:41:13Z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